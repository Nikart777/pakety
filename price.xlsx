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avtos\YandexDisk\CYBERX\новокос\price\с 31.12.2025\"/>
    </mc:Choice>
  </mc:AlternateContent>
  <xr:revisionPtr revIDLastSave="0" documentId="13_ncr:1_{7F5C0288-C890-4DED-A20B-624004B4EC3F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Алтушка TV" sheetId="1" r:id="rId1"/>
    <sheet name="Алтушка ПК" sheetId="2" r:id="rId2"/>
    <sheet name="Новокос ПК" sheetId="3" r:id="rId3"/>
    <sheet name="TV новокосин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J9" i="4"/>
  <c r="J5" i="4"/>
  <c r="J3" i="4"/>
  <c r="E49" i="2"/>
  <c r="F49" i="2" s="1"/>
  <c r="C16" i="1"/>
  <c r="D16" i="1" s="1"/>
  <c r="C15" i="1"/>
  <c r="D15" i="1" s="1"/>
  <c r="D8" i="1"/>
  <c r="C8" i="1"/>
  <c r="C7" i="1"/>
  <c r="D7" i="1" s="1"/>
  <c r="E9" i="2"/>
  <c r="F9" i="2" s="1"/>
  <c r="F12" i="1"/>
  <c r="F4" i="1"/>
  <c r="F5" i="1"/>
  <c r="F6" i="1"/>
  <c r="F3" i="2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14" i="2"/>
  <c r="F14" i="2" s="1"/>
  <c r="E13" i="2"/>
  <c r="F13" i="2" s="1"/>
  <c r="E12" i="2"/>
  <c r="F12" i="2" s="1"/>
  <c r="E11" i="2"/>
  <c r="F11" i="2" s="1"/>
  <c r="E10" i="2"/>
  <c r="F10" i="2" s="1"/>
  <c r="H12" i="4"/>
  <c r="I12" i="4" s="1"/>
  <c r="F12" i="4"/>
  <c r="G12" i="4" s="1"/>
  <c r="H11" i="4"/>
  <c r="I11" i="4" s="1"/>
  <c r="F11" i="4"/>
  <c r="G11" i="4" s="1"/>
  <c r="H10" i="4"/>
  <c r="I10" i="4" s="1"/>
  <c r="F10" i="4"/>
  <c r="G10" i="4" s="1"/>
  <c r="H9" i="4"/>
  <c r="I9" i="4" s="1"/>
  <c r="F9" i="4"/>
  <c r="G9" i="4" s="1"/>
  <c r="H6" i="4"/>
  <c r="I6" i="4" s="1"/>
  <c r="F6" i="4"/>
  <c r="G6" i="4" s="1"/>
  <c r="H5" i="4"/>
  <c r="I5" i="4" s="1"/>
  <c r="F5" i="4"/>
  <c r="G5" i="4" s="1"/>
  <c r="H4" i="4"/>
  <c r="I4" i="4" s="1"/>
  <c r="F4" i="4"/>
  <c r="G4" i="4" s="1"/>
  <c r="H3" i="4"/>
  <c r="I3" i="4" s="1"/>
  <c r="F3" i="4"/>
  <c r="G3" i="4" s="1"/>
  <c r="E50" i="2"/>
  <c r="F50" i="2" s="1"/>
  <c r="E33" i="2"/>
  <c r="F33" i="2" s="1"/>
  <c r="E16" i="2"/>
  <c r="F16" i="2" s="1"/>
  <c r="E51" i="2"/>
  <c r="F51" i="2" s="1"/>
  <c r="E34" i="2"/>
  <c r="F34" i="2" s="1"/>
  <c r="E17" i="2"/>
  <c r="F17" i="2" s="1"/>
  <c r="E32" i="2"/>
  <c r="F32" i="2" s="1"/>
  <c r="E15" i="2"/>
  <c r="F15" i="2" s="1"/>
  <c r="E42" i="2"/>
  <c r="F42" i="2" s="1"/>
  <c r="E41" i="2"/>
  <c r="F41" i="2" s="1"/>
  <c r="E25" i="2"/>
  <c r="F25" i="2" s="1"/>
  <c r="E24" i="2"/>
  <c r="F24" i="2" s="1"/>
  <c r="E7" i="2"/>
  <c r="F7" i="2" s="1"/>
  <c r="E8" i="2"/>
  <c r="F8" i="2" s="1"/>
  <c r="G40" i="2"/>
  <c r="H40" i="2" s="1"/>
  <c r="E40" i="2"/>
  <c r="F40" i="2" s="1"/>
  <c r="G39" i="2"/>
  <c r="H39" i="2" s="1"/>
  <c r="E39" i="2"/>
  <c r="F39" i="2" s="1"/>
  <c r="G38" i="2"/>
  <c r="H38" i="2" s="1"/>
  <c r="E38" i="2"/>
  <c r="F38" i="2" s="1"/>
  <c r="G37" i="2"/>
  <c r="H37" i="2" s="1"/>
  <c r="E37" i="2"/>
  <c r="F37" i="2" s="1"/>
  <c r="G23" i="2"/>
  <c r="H23" i="2" s="1"/>
  <c r="E23" i="2"/>
  <c r="F23" i="2" s="1"/>
  <c r="G22" i="2"/>
  <c r="H22" i="2" s="1"/>
  <c r="E22" i="2"/>
  <c r="F22" i="2" s="1"/>
  <c r="G21" i="2"/>
  <c r="H21" i="2" s="1"/>
  <c r="E21" i="2"/>
  <c r="F21" i="2" s="1"/>
  <c r="G20" i="2"/>
  <c r="H20" i="2" s="1"/>
  <c r="E20" i="2"/>
  <c r="F20" i="2" s="1"/>
  <c r="G6" i="2"/>
  <c r="H6" i="2" s="1"/>
  <c r="E6" i="2"/>
  <c r="F6" i="2" s="1"/>
  <c r="G5" i="2"/>
  <c r="H5" i="2" s="1"/>
  <c r="E5" i="2"/>
  <c r="F5" i="2" s="1"/>
  <c r="G4" i="2"/>
  <c r="H4" i="2" s="1"/>
  <c r="E4" i="2"/>
  <c r="F4" i="2" s="1"/>
  <c r="G3" i="2"/>
  <c r="H3" i="2" s="1"/>
  <c r="E3" i="2"/>
  <c r="G14" i="1"/>
  <c r="H14" i="1" s="1"/>
  <c r="E14" i="1"/>
  <c r="F14" i="1" s="1"/>
  <c r="G13" i="1"/>
  <c r="H13" i="1" s="1"/>
  <c r="E13" i="1"/>
  <c r="F13" i="1" s="1"/>
  <c r="G12" i="1"/>
  <c r="H12" i="1" s="1"/>
  <c r="E12" i="1"/>
  <c r="G11" i="1"/>
  <c r="H11" i="1" s="1"/>
  <c r="E11" i="1"/>
  <c r="F11" i="1" s="1"/>
  <c r="E3" i="1"/>
  <c r="F3" i="1" s="1"/>
  <c r="E4" i="1"/>
  <c r="E5" i="1"/>
  <c r="E6" i="1"/>
  <c r="G6" i="1"/>
  <c r="H6" i="1" s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<sst xmlns="http://schemas.openxmlformats.org/spreadsheetml/2006/main" count="970" uniqueCount="89">
  <si>
    <t>Тариф</t>
  </si>
  <si>
    <t>Цена за 1 час</t>
  </si>
  <si>
    <t>Скидка на 3 часа (%)</t>
  </si>
  <si>
    <t>Скидка на 5 часов (%)</t>
  </si>
  <si>
    <t>3 часа (без скидки)</t>
  </si>
  <si>
    <t>3 часа (со скидкой)</t>
  </si>
  <si>
    <t>5 часов (без скидки)</t>
  </si>
  <si>
    <t>5 часов (со скидкой)</t>
  </si>
  <si>
    <t>Будни День</t>
  </si>
  <si>
    <t>Будни Вечер</t>
  </si>
  <si>
    <t>Выходные День</t>
  </si>
  <si>
    <t>Выходные вечер</t>
  </si>
  <si>
    <t>TV std</t>
  </si>
  <si>
    <t>TV VIP</t>
  </si>
  <si>
    <t>Standard</t>
  </si>
  <si>
    <t>Bootcamp</t>
  </si>
  <si>
    <t>3 ч (без скидки)</t>
  </si>
  <si>
    <t>5 ч (без скидки)</t>
  </si>
  <si>
    <t>Скидка на 3 ч (%)</t>
  </si>
  <si>
    <t>Скидка на 5 ч (%)</t>
  </si>
  <si>
    <t>Ночь будни, средняя цена</t>
  </si>
  <si>
    <t>Ночь вых, средняя цена</t>
  </si>
  <si>
    <t>Ночь без скидки:</t>
  </si>
  <si>
    <t>&lt;- Со скидкой</t>
  </si>
  <si>
    <t>Абонемент 24 часа</t>
  </si>
  <si>
    <t>Абонемент без скидки:</t>
  </si>
  <si>
    <t>Абонемент 100 часов</t>
  </si>
  <si>
    <t>Абонемент 50 часов</t>
  </si>
  <si>
    <t>бронза</t>
  </si>
  <si>
    <t>серебро</t>
  </si>
  <si>
    <t>золото и выше</t>
  </si>
  <si>
    <t>TV Standart</t>
  </si>
  <si>
    <t>SOLO и DUO</t>
  </si>
  <si>
    <t>Ночь лайт 4 часа 23:00-05:00 будни</t>
  </si>
  <si>
    <t>Рассвет 3 часа 05:00-08:00</t>
  </si>
  <si>
    <t>Рассвет 3 часа 05:00-08:00 вых</t>
  </si>
  <si>
    <t>Day Boost 2 часа 08:00-14:00 будни</t>
  </si>
  <si>
    <t>Day Boost 2 часа 08:00-14:00 вых</t>
  </si>
  <si>
    <t>без скидки</t>
  </si>
  <si>
    <t>Полуночник 2,5 часа 01:00-05:00 будни</t>
  </si>
  <si>
    <t>Ночь будни</t>
  </si>
  <si>
    <t>Скидка ночь</t>
  </si>
  <si>
    <t>Ночь 22-11</t>
  </si>
  <si>
    <t>08:00-17:00</t>
  </si>
  <si>
    <t>17:00-08:00</t>
  </si>
  <si>
    <t>22:00-08:00</t>
  </si>
  <si>
    <t>1 час</t>
  </si>
  <si>
    <t>3 часа</t>
  </si>
  <si>
    <t>5 часов</t>
  </si>
  <si>
    <t>23:00-05:00</t>
  </si>
  <si>
    <t>05:00-08:00</t>
  </si>
  <si>
    <t>08:00-14:00</t>
  </si>
  <si>
    <t>Ночь лайт</t>
  </si>
  <si>
    <t>01:00-05:00</t>
  </si>
  <si>
    <t>тип дня недели</t>
  </si>
  <si>
    <t>будни</t>
  </si>
  <si>
    <t>выходные</t>
  </si>
  <si>
    <t>Цена</t>
  </si>
  <si>
    <t>Day Boost</t>
  </si>
  <si>
    <t>Рассвет</t>
  </si>
  <si>
    <t>Полуночник</t>
  </si>
  <si>
    <t xml:space="preserve">Название </t>
  </si>
  <si>
    <t>ОБЩИЙ ЗАЛ</t>
  </si>
  <si>
    <t>Время цены</t>
  </si>
  <si>
    <t>Ночь</t>
  </si>
  <si>
    <t>номера ПК</t>
  </si>
  <si>
    <t>11,12,13,14,15,16,17,18,19,20,21,22,23,24,25</t>
  </si>
  <si>
    <t>БУТКЕМП</t>
  </si>
  <si>
    <t>6,7,8,9,10</t>
  </si>
  <si>
    <t>ВИП БУТКЕМП</t>
  </si>
  <si>
    <t>1,2,3,4,5</t>
  </si>
  <si>
    <t>ДУО</t>
  </si>
  <si>
    <t>29,30</t>
  </si>
  <si>
    <t>31,32</t>
  </si>
  <si>
    <t>СОЛО ПРО</t>
  </si>
  <si>
    <t>СОЛО ПРЕМИУМ</t>
  </si>
  <si>
    <t>33,34</t>
  </si>
  <si>
    <t>АВТОСИМУЛЯТОР</t>
  </si>
  <si>
    <t>AUTOSIM1,AUTOSIM2,AUTOSIM3,AUTOSIM4</t>
  </si>
  <si>
    <t>2 часа</t>
  </si>
  <si>
    <t>00:00-23:59</t>
  </si>
  <si>
    <t>ТВ СТАНДАРТ</t>
  </si>
  <si>
    <t>08:00-16:00</t>
  </si>
  <si>
    <t>16:00-08:00</t>
  </si>
  <si>
    <t>08:00-15:00</t>
  </si>
  <si>
    <t>15:00-08:00</t>
  </si>
  <si>
    <t>PS STD</t>
  </si>
  <si>
    <t>ТВ ВИП</t>
  </si>
  <si>
    <t>PS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</si>
</sst>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8"/>
      <color rgb="FF21252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0" borderId="0" xfId="0" applyFont="1"/>
    <xf numFmtId="0" fontId="0" fillId="5" borderId="1" xfId="0" applyFill="1" applyBorder="1"/>
    <xf numFmtId="0" fontId="2" fillId="5" borderId="1" xfId="0" applyFont="1" applyFill="1" applyBorder="1"/>
    <xf numFmtId="0" fontId="0" fillId="5" borderId="0" xfId="0" applyFill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0" fillId="6" borderId="1" xfId="0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49" fontId="0" fillId="0" borderId="1" xfId="0" applyNumberFormat="1" applyFill="1" applyBorder="1"/>
    <xf numFmtId="49" fontId="3" fillId="0" borderId="1" xfId="0" applyNumberFormat="1" applyFont="1" applyBorder="1"/>
    <xf numFmtId="49" fontId="0" fillId="0" borderId="0" xfId="0" applyNumberFormat="1" applyFill="1" applyBorder="1"/>
    <xf numFmtId="0" fontId="0" fillId="0" borderId="3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zoomScale="115" zoomScaleNormal="115" workbookViewId="0">
      <selection activeCell="D15" sqref="D15"/>
    </sheetView>
  </sheetViews>
  <sheetFormatPr defaultRowHeight="14.4" x14ac:dyDescent="0.3"/>
  <cols>
    <col min="1" max="5" width="20.6640625" customWidth="1"/>
    <col min="6" max="6" width="20.6640625" style="1" customWidth="1"/>
    <col min="7" max="7" width="20.6640625" customWidth="1"/>
    <col min="8" max="8" width="20.6640625" style="1" customWidth="1"/>
    <col min="9" max="9" width="20.6640625" customWidth="1"/>
  </cols>
  <sheetData>
    <row r="1" spans="1:8" x14ac:dyDescent="0.3">
      <c r="A1" s="14" t="s">
        <v>12</v>
      </c>
      <c r="B1" s="14"/>
      <c r="C1" s="14"/>
      <c r="D1" s="14"/>
      <c r="E1" s="14"/>
      <c r="F1" s="14"/>
      <c r="G1" s="14"/>
      <c r="H1" s="14"/>
    </row>
    <row r="2" spans="1: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3" t="s">
        <v>7</v>
      </c>
    </row>
    <row r="3" spans="1:8" x14ac:dyDescent="0.3">
      <c r="A3" s="2" t="s">
        <v>8</v>
      </c>
      <c r="B3" s="2">
        <v>320</v>
      </c>
      <c r="C3" s="2">
        <v>23</v>
      </c>
      <c r="D3" s="2">
        <v>29</v>
      </c>
      <c r="E3" s="2">
        <f>B3*3</f>
        <v>960</v>
      </c>
      <c r="F3" s="3">
        <f>ROUNDUP(E3*(1-C3/100)/10, 0)*10</f>
        <v>740</v>
      </c>
      <c r="G3" s="2">
        <f>B3*5</f>
        <v>1600</v>
      </c>
      <c r="H3" s="3">
        <f>ROUNDUP(G3*(1-D3/100)/10, 0)*10</f>
        <v>1140</v>
      </c>
    </row>
    <row r="4" spans="1:8" x14ac:dyDescent="0.3">
      <c r="A4" s="2" t="s">
        <v>9</v>
      </c>
      <c r="B4" s="2">
        <v>340</v>
      </c>
      <c r="C4" s="2">
        <v>20</v>
      </c>
      <c r="D4" s="2">
        <v>28</v>
      </c>
      <c r="E4" s="2">
        <f>B4*3</f>
        <v>1020</v>
      </c>
      <c r="F4" s="3">
        <f t="shared" ref="F4:F6" si="0">ROUNDUP(E4*(1-C4/100)/10, 0)*10</f>
        <v>820</v>
      </c>
      <c r="G4" s="2">
        <f>B4*5</f>
        <v>1700</v>
      </c>
      <c r="H4" s="3">
        <f t="shared" ref="H4:H6" si="1">ROUNDUP(G4*(1-D4/100)/10, 0)*10</f>
        <v>1230</v>
      </c>
    </row>
    <row r="5" spans="1:8" x14ac:dyDescent="0.3">
      <c r="A5" s="2" t="s">
        <v>10</v>
      </c>
      <c r="B5" s="2">
        <v>340</v>
      </c>
      <c r="C5" s="2">
        <v>20</v>
      </c>
      <c r="D5" s="2">
        <v>26</v>
      </c>
      <c r="E5" s="2">
        <f>B5*3</f>
        <v>1020</v>
      </c>
      <c r="F5" s="3">
        <f t="shared" si="0"/>
        <v>820</v>
      </c>
      <c r="G5" s="2">
        <f>B5*5</f>
        <v>1700</v>
      </c>
      <c r="H5" s="3">
        <f t="shared" si="1"/>
        <v>1260</v>
      </c>
    </row>
    <row r="6" spans="1:8" x14ac:dyDescent="0.3">
      <c r="A6" s="2" t="s">
        <v>11</v>
      </c>
      <c r="B6" s="2">
        <v>390</v>
      </c>
      <c r="C6" s="2">
        <v>17</v>
      </c>
      <c r="D6" s="2">
        <v>24</v>
      </c>
      <c r="E6" s="2">
        <f>B6*3</f>
        <v>1170</v>
      </c>
      <c r="F6" s="3">
        <f t="shared" si="0"/>
        <v>980</v>
      </c>
      <c r="G6" s="2">
        <f>B6*5</f>
        <v>1950</v>
      </c>
      <c r="H6" s="3">
        <f t="shared" si="1"/>
        <v>1490</v>
      </c>
    </row>
    <row r="7" spans="1:8" x14ac:dyDescent="0.3">
      <c r="A7" s="2" t="s">
        <v>40</v>
      </c>
      <c r="B7" s="2">
        <v>330</v>
      </c>
      <c r="C7" s="2">
        <f>B7*10</f>
        <v>3300</v>
      </c>
      <c r="D7" s="2">
        <f>C7/2</f>
        <v>1650</v>
      </c>
      <c r="E7" s="13"/>
      <c r="G7" s="12"/>
    </row>
    <row r="8" spans="1:8" x14ac:dyDescent="0.3">
      <c r="A8" s="2" t="s">
        <v>40</v>
      </c>
      <c r="B8" s="2">
        <v>365</v>
      </c>
      <c r="C8" s="2">
        <f>B8*10</f>
        <v>3650</v>
      </c>
      <c r="D8" s="2">
        <f>C8/2</f>
        <v>1825</v>
      </c>
    </row>
    <row r="9" spans="1:8" x14ac:dyDescent="0.3">
      <c r="A9" s="15" t="s">
        <v>13</v>
      </c>
      <c r="B9" s="15"/>
      <c r="C9" s="15"/>
      <c r="D9" s="15"/>
      <c r="E9" s="15"/>
      <c r="F9" s="15"/>
      <c r="G9" s="15"/>
      <c r="H9" s="15"/>
    </row>
    <row r="10" spans="1:8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2" t="s">
        <v>6</v>
      </c>
      <c r="H10" s="3" t="s">
        <v>7</v>
      </c>
    </row>
    <row r="11" spans="1:8" x14ac:dyDescent="0.3">
      <c r="A11" s="2" t="s">
        <v>8</v>
      </c>
      <c r="B11" s="2">
        <v>350</v>
      </c>
      <c r="C11" s="2">
        <v>23</v>
      </c>
      <c r="D11" s="2">
        <v>29</v>
      </c>
      <c r="E11" s="2">
        <f>B11*3</f>
        <v>1050</v>
      </c>
      <c r="F11" s="3">
        <f t="shared" ref="F11:F14" si="2">ROUNDUP(E11*(1-C11/100)/10, 0)*10</f>
        <v>810</v>
      </c>
      <c r="G11" s="2">
        <f>B11*5</f>
        <v>1750</v>
      </c>
      <c r="H11" s="3">
        <f t="shared" ref="H11:H14" si="3">ROUNDUP(G11*(1-D11/100)/10, 0)*10</f>
        <v>1250</v>
      </c>
    </row>
    <row r="12" spans="1:8" x14ac:dyDescent="0.3">
      <c r="A12" s="2" t="s">
        <v>9</v>
      </c>
      <c r="B12" s="2">
        <v>400</v>
      </c>
      <c r="C12" s="2">
        <v>20</v>
      </c>
      <c r="D12" s="2">
        <v>28</v>
      </c>
      <c r="E12" s="2">
        <f>B12*3</f>
        <v>1200</v>
      </c>
      <c r="F12" s="3">
        <f t="shared" si="2"/>
        <v>960</v>
      </c>
      <c r="G12" s="2">
        <f>B12*5</f>
        <v>2000</v>
      </c>
      <c r="H12" s="3">
        <f t="shared" si="3"/>
        <v>1440</v>
      </c>
    </row>
    <row r="13" spans="1:8" x14ac:dyDescent="0.3">
      <c r="A13" s="2" t="s">
        <v>10</v>
      </c>
      <c r="B13" s="2">
        <v>400</v>
      </c>
      <c r="C13" s="2">
        <v>20</v>
      </c>
      <c r="D13" s="2">
        <v>26</v>
      </c>
      <c r="E13" s="2">
        <f>B13*3</f>
        <v>1200</v>
      </c>
      <c r="F13" s="3">
        <f t="shared" si="2"/>
        <v>960</v>
      </c>
      <c r="G13" s="2">
        <f>B13*5</f>
        <v>2000</v>
      </c>
      <c r="H13" s="3">
        <f t="shared" si="3"/>
        <v>1480</v>
      </c>
    </row>
    <row r="14" spans="1:8" x14ac:dyDescent="0.3">
      <c r="A14" s="2" t="s">
        <v>11</v>
      </c>
      <c r="B14" s="2">
        <v>450</v>
      </c>
      <c r="C14" s="2">
        <v>17</v>
      </c>
      <c r="D14" s="2">
        <v>24</v>
      </c>
      <c r="E14" s="2">
        <f>B14*3</f>
        <v>1350</v>
      </c>
      <c r="F14" s="3">
        <f t="shared" si="2"/>
        <v>1130</v>
      </c>
      <c r="G14" s="2">
        <f>B14*5</f>
        <v>2250</v>
      </c>
      <c r="H14" s="3">
        <f t="shared" si="3"/>
        <v>1710</v>
      </c>
    </row>
    <row r="15" spans="1:8" x14ac:dyDescent="0.3">
      <c r="A15" s="2" t="s">
        <v>40</v>
      </c>
      <c r="B15" s="2">
        <v>375</v>
      </c>
      <c r="C15" s="2">
        <f>B15*10</f>
        <v>3750</v>
      </c>
      <c r="D15" s="2">
        <f>C15/2</f>
        <v>1875</v>
      </c>
    </row>
    <row r="16" spans="1:8" x14ac:dyDescent="0.3">
      <c r="A16" s="2" t="s">
        <v>40</v>
      </c>
      <c r="B16" s="2">
        <v>425</v>
      </c>
      <c r="C16" s="2">
        <f>B16*10</f>
        <v>4250</v>
      </c>
      <c r="D16" s="2">
        <f>C16/2</f>
        <v>2125</v>
      </c>
    </row>
  </sheetData>
  <mergeCells count="2">
    <mergeCell ref="A1:H1"/>
    <mergeCell ref="A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F66B-57D1-4BCB-944B-4F0EC3C5C74A}">
  <dimension ref="A1:I51"/>
  <sheetViews>
    <sheetView topLeftCell="A22" zoomScale="130" zoomScaleNormal="130" workbookViewId="0">
      <selection activeCell="A36" sqref="A36:H51"/>
    </sheetView>
  </sheetViews>
  <sheetFormatPr defaultRowHeight="14.4" x14ac:dyDescent="0.3"/>
  <cols>
    <col min="1" max="1" width="33.6640625" customWidth="1"/>
    <col min="2" max="2" width="14.21875" customWidth="1"/>
    <col min="3" max="3" width="16.44140625" hidden="1" customWidth="1"/>
    <col min="4" max="4" width="19.109375" hidden="1" customWidth="1"/>
    <col min="5" max="5" width="12.109375" style="5" hidden="1" customWidth="1"/>
    <col min="6" max="6" width="20.6640625" customWidth="1"/>
    <col min="7" max="7" width="12.109375" style="5" hidden="1" customWidth="1"/>
    <col min="8" max="8" width="20.6640625" customWidth="1"/>
  </cols>
  <sheetData>
    <row r="1" spans="1:8" x14ac:dyDescent="0.3">
      <c r="A1" s="16" t="s">
        <v>14</v>
      </c>
      <c r="B1" s="16"/>
      <c r="C1" s="16"/>
      <c r="D1" s="16"/>
      <c r="E1" s="16"/>
      <c r="F1" s="16"/>
      <c r="G1" s="16"/>
      <c r="H1" s="16"/>
    </row>
    <row r="2" spans="1:8" x14ac:dyDescent="0.3">
      <c r="A2" s="2" t="s">
        <v>0</v>
      </c>
      <c r="B2" s="2" t="s">
        <v>1</v>
      </c>
      <c r="C2" s="2" t="s">
        <v>18</v>
      </c>
      <c r="D2" s="2" t="s">
        <v>19</v>
      </c>
      <c r="E2" s="4" t="s">
        <v>16</v>
      </c>
      <c r="F2" s="3" t="s">
        <v>5</v>
      </c>
      <c r="G2" s="4" t="s">
        <v>17</v>
      </c>
      <c r="H2" s="3" t="s">
        <v>7</v>
      </c>
    </row>
    <row r="3" spans="1:8" x14ac:dyDescent="0.3">
      <c r="A3" s="2" t="s">
        <v>8</v>
      </c>
      <c r="B3" s="2">
        <v>150</v>
      </c>
      <c r="C3" s="2">
        <v>10</v>
      </c>
      <c r="D3" s="2">
        <v>16</v>
      </c>
      <c r="E3" s="4">
        <f>B3*3</f>
        <v>450</v>
      </c>
      <c r="F3" s="3">
        <f t="shared" ref="F3:F17" si="0">ROUNDUP(E3*(1-C3/100)/10, 0)*10</f>
        <v>410</v>
      </c>
      <c r="G3" s="4">
        <f>B3*5</f>
        <v>750</v>
      </c>
      <c r="H3" s="3">
        <f>ROUNDUP(G3*(1-D3/100)/10, 0)*10</f>
        <v>630</v>
      </c>
    </row>
    <row r="4" spans="1:8" x14ac:dyDescent="0.3">
      <c r="A4" s="2" t="s">
        <v>9</v>
      </c>
      <c r="B4" s="2">
        <v>170</v>
      </c>
      <c r="C4" s="2">
        <v>9</v>
      </c>
      <c r="D4" s="2">
        <v>15</v>
      </c>
      <c r="E4" s="4">
        <f>B4*3</f>
        <v>510</v>
      </c>
      <c r="F4" s="3">
        <f t="shared" si="0"/>
        <v>470</v>
      </c>
      <c r="G4" s="4">
        <f>B4*5</f>
        <v>850</v>
      </c>
      <c r="H4" s="3">
        <f>ROUNDUP(G4*(1-D4/100)/10, 0)*10</f>
        <v>730</v>
      </c>
    </row>
    <row r="5" spans="1:8" s="8" customFormat="1" x14ac:dyDescent="0.3">
      <c r="A5" s="6" t="s">
        <v>10</v>
      </c>
      <c r="B5" s="6">
        <v>170</v>
      </c>
      <c r="C5" s="6">
        <v>9</v>
      </c>
      <c r="D5" s="6">
        <v>15</v>
      </c>
      <c r="E5" s="7">
        <f>B5*3</f>
        <v>510</v>
      </c>
      <c r="F5" s="6">
        <f t="shared" si="0"/>
        <v>470</v>
      </c>
      <c r="G5" s="7">
        <f>B5*5</f>
        <v>850</v>
      </c>
      <c r="H5" s="6">
        <f>ROUNDUP(G5*(1-D5/100)/10, 0)*10</f>
        <v>730</v>
      </c>
    </row>
    <row r="6" spans="1:8" s="8" customFormat="1" x14ac:dyDescent="0.3">
      <c r="A6" s="6" t="s">
        <v>11</v>
      </c>
      <c r="B6" s="6">
        <v>190</v>
      </c>
      <c r="C6" s="6">
        <v>8</v>
      </c>
      <c r="D6" s="6">
        <v>12</v>
      </c>
      <c r="E6" s="7">
        <f>B6*3</f>
        <v>570</v>
      </c>
      <c r="F6" s="6">
        <f t="shared" si="0"/>
        <v>530</v>
      </c>
      <c r="G6" s="7">
        <f>B6*5</f>
        <v>950</v>
      </c>
      <c r="H6" s="6">
        <f>ROUNDUP(G6*(1-D6/100)/10, 0)*10</f>
        <v>840</v>
      </c>
    </row>
    <row r="7" spans="1:8" x14ac:dyDescent="0.3">
      <c r="A7" s="11" t="s">
        <v>20</v>
      </c>
      <c r="B7" s="2">
        <v>160</v>
      </c>
      <c r="C7" s="2">
        <v>50</v>
      </c>
      <c r="D7" s="9" t="s">
        <v>22</v>
      </c>
      <c r="E7" s="10">
        <f>B7*10</f>
        <v>1600</v>
      </c>
      <c r="F7" s="3">
        <f t="shared" si="0"/>
        <v>800</v>
      </c>
      <c r="G7" s="4" t="s">
        <v>23</v>
      </c>
      <c r="H7" s="3"/>
    </row>
    <row r="8" spans="1:8" x14ac:dyDescent="0.3">
      <c r="A8" s="11" t="s">
        <v>21</v>
      </c>
      <c r="B8" s="2">
        <v>180</v>
      </c>
      <c r="C8" s="2">
        <v>50</v>
      </c>
      <c r="D8" s="9" t="s">
        <v>22</v>
      </c>
      <c r="E8" s="10">
        <f>B8*10</f>
        <v>1800</v>
      </c>
      <c r="F8" s="3">
        <f t="shared" si="0"/>
        <v>900</v>
      </c>
      <c r="G8" s="4" t="s">
        <v>23</v>
      </c>
      <c r="H8" s="3"/>
    </row>
    <row r="9" spans="1:8" x14ac:dyDescent="0.3">
      <c r="A9" s="11" t="s">
        <v>33</v>
      </c>
      <c r="B9" s="2">
        <v>150</v>
      </c>
      <c r="C9" s="2">
        <v>30</v>
      </c>
      <c r="D9" s="9" t="s">
        <v>38</v>
      </c>
      <c r="E9" s="10">
        <f>B9*4</f>
        <v>600</v>
      </c>
      <c r="F9" s="3">
        <f t="shared" si="0"/>
        <v>420</v>
      </c>
      <c r="G9" s="4" t="s">
        <v>23</v>
      </c>
      <c r="H9" s="3"/>
    </row>
    <row r="10" spans="1:8" x14ac:dyDescent="0.3">
      <c r="A10" s="11" t="s">
        <v>39</v>
      </c>
      <c r="B10" s="2">
        <v>150</v>
      </c>
      <c r="C10" s="2">
        <v>30</v>
      </c>
      <c r="D10" s="9" t="s">
        <v>38</v>
      </c>
      <c r="E10" s="10">
        <f>B10*2.5</f>
        <v>375</v>
      </c>
      <c r="F10" s="3">
        <f t="shared" si="0"/>
        <v>270</v>
      </c>
      <c r="G10" s="4" t="s">
        <v>23</v>
      </c>
      <c r="H10" s="3"/>
    </row>
    <row r="11" spans="1:8" x14ac:dyDescent="0.3">
      <c r="A11" s="11" t="s">
        <v>34</v>
      </c>
      <c r="B11" s="2">
        <v>150</v>
      </c>
      <c r="C11" s="2">
        <v>25</v>
      </c>
      <c r="D11" s="9" t="s">
        <v>38</v>
      </c>
      <c r="E11" s="10">
        <f>B11*3</f>
        <v>450</v>
      </c>
      <c r="F11" s="3">
        <f t="shared" si="0"/>
        <v>340</v>
      </c>
      <c r="G11" s="4" t="s">
        <v>23</v>
      </c>
      <c r="H11" s="3"/>
    </row>
    <row r="12" spans="1:8" x14ac:dyDescent="0.3">
      <c r="A12" s="11" t="s">
        <v>35</v>
      </c>
      <c r="B12" s="2">
        <v>170</v>
      </c>
      <c r="C12" s="2">
        <v>25</v>
      </c>
      <c r="D12" s="9" t="s">
        <v>38</v>
      </c>
      <c r="E12" s="10">
        <f>B12*3</f>
        <v>510</v>
      </c>
      <c r="F12" s="3">
        <f t="shared" si="0"/>
        <v>390</v>
      </c>
      <c r="G12" s="4" t="s">
        <v>23</v>
      </c>
      <c r="H12" s="3"/>
    </row>
    <row r="13" spans="1:8" x14ac:dyDescent="0.3">
      <c r="A13" s="11" t="s">
        <v>36</v>
      </c>
      <c r="B13" s="2">
        <v>150</v>
      </c>
      <c r="C13" s="2">
        <v>25</v>
      </c>
      <c r="D13" s="9" t="s">
        <v>38</v>
      </c>
      <c r="E13" s="10">
        <f>B13*2</f>
        <v>300</v>
      </c>
      <c r="F13" s="3">
        <f t="shared" si="0"/>
        <v>230</v>
      </c>
      <c r="G13" s="4" t="s">
        <v>23</v>
      </c>
      <c r="H13" s="3"/>
    </row>
    <row r="14" spans="1:8" x14ac:dyDescent="0.3">
      <c r="A14" s="11" t="s">
        <v>37</v>
      </c>
      <c r="B14" s="2">
        <v>170</v>
      </c>
      <c r="C14" s="2">
        <v>25</v>
      </c>
      <c r="D14" s="9" t="s">
        <v>38</v>
      </c>
      <c r="E14" s="10">
        <f>B14*2</f>
        <v>340</v>
      </c>
      <c r="F14" s="3">
        <f t="shared" si="0"/>
        <v>260</v>
      </c>
      <c r="G14" s="4" t="s">
        <v>23</v>
      </c>
      <c r="H14" s="3"/>
    </row>
    <row r="15" spans="1:8" x14ac:dyDescent="0.3">
      <c r="A15" s="2" t="s">
        <v>24</v>
      </c>
      <c r="B15" s="2">
        <v>170</v>
      </c>
      <c r="C15" s="2">
        <v>30</v>
      </c>
      <c r="D15" s="9" t="s">
        <v>25</v>
      </c>
      <c r="E15" s="10">
        <f>B15*24</f>
        <v>4080</v>
      </c>
      <c r="F15" s="3">
        <f t="shared" si="0"/>
        <v>2860</v>
      </c>
      <c r="G15" s="4" t="s">
        <v>23</v>
      </c>
      <c r="H15" s="3"/>
    </row>
    <row r="16" spans="1:8" x14ac:dyDescent="0.3">
      <c r="A16" s="2" t="s">
        <v>27</v>
      </c>
      <c r="B16" s="2">
        <v>170</v>
      </c>
      <c r="C16" s="2">
        <v>40</v>
      </c>
      <c r="D16" s="9" t="s">
        <v>25</v>
      </c>
      <c r="E16" s="10">
        <f>B16*50</f>
        <v>8500</v>
      </c>
      <c r="F16" s="3">
        <f t="shared" si="0"/>
        <v>5100</v>
      </c>
      <c r="G16" s="4" t="s">
        <v>23</v>
      </c>
      <c r="H16" s="3"/>
    </row>
    <row r="17" spans="1:9" x14ac:dyDescent="0.3">
      <c r="A17" s="2" t="s">
        <v>26</v>
      </c>
      <c r="B17" s="2">
        <v>170</v>
      </c>
      <c r="C17" s="2">
        <v>50</v>
      </c>
      <c r="D17" s="9" t="s">
        <v>25</v>
      </c>
      <c r="E17" s="10">
        <f>B17*100</f>
        <v>17000</v>
      </c>
      <c r="F17" s="3">
        <f t="shared" si="0"/>
        <v>8500</v>
      </c>
      <c r="G17" s="4" t="s">
        <v>23</v>
      </c>
      <c r="H17" s="3"/>
    </row>
    <row r="18" spans="1:9" x14ac:dyDescent="0.3">
      <c r="A18" s="17" t="s">
        <v>15</v>
      </c>
      <c r="B18" s="17"/>
      <c r="C18" s="17"/>
      <c r="D18" s="17"/>
      <c r="E18" s="17"/>
      <c r="F18" s="17"/>
      <c r="G18" s="17"/>
      <c r="H18" s="17"/>
    </row>
    <row r="19" spans="1:9" x14ac:dyDescent="0.3">
      <c r="A19" s="2" t="s">
        <v>0</v>
      </c>
      <c r="B19" s="2" t="s">
        <v>1</v>
      </c>
      <c r="C19" s="2" t="s">
        <v>18</v>
      </c>
      <c r="D19" s="2" t="s">
        <v>19</v>
      </c>
      <c r="E19" s="4" t="s">
        <v>16</v>
      </c>
      <c r="F19" s="3" t="s">
        <v>5</v>
      </c>
      <c r="G19" s="4" t="s">
        <v>17</v>
      </c>
      <c r="H19" s="3" t="s">
        <v>7</v>
      </c>
    </row>
    <row r="20" spans="1:9" x14ac:dyDescent="0.3">
      <c r="A20" s="2" t="s">
        <v>8</v>
      </c>
      <c r="B20" s="2">
        <v>170</v>
      </c>
      <c r="C20" s="2">
        <v>10</v>
      </c>
      <c r="D20" s="2">
        <v>16</v>
      </c>
      <c r="E20" s="4">
        <f>B20*3</f>
        <v>510</v>
      </c>
      <c r="F20" s="3">
        <f>ROUNDUP(E20*(1-C20/100)/10, 0)*10</f>
        <v>460</v>
      </c>
      <c r="G20" s="4">
        <f>B20*5</f>
        <v>850</v>
      </c>
      <c r="H20" s="3">
        <f>ROUNDUP(G20*(1-D20/100)/10, 0)*10</f>
        <v>720</v>
      </c>
    </row>
    <row r="21" spans="1:9" x14ac:dyDescent="0.3">
      <c r="A21" s="2" t="s">
        <v>9</v>
      </c>
      <c r="B21" s="2">
        <v>190</v>
      </c>
      <c r="C21" s="2">
        <v>9</v>
      </c>
      <c r="D21" s="2">
        <v>15</v>
      </c>
      <c r="E21" s="4">
        <f>B21*3</f>
        <v>570</v>
      </c>
      <c r="F21" s="3">
        <f>ROUNDUP(E21*(1-C21/100)/10, 0)*10</f>
        <v>520</v>
      </c>
      <c r="G21" s="4">
        <f>B21*5</f>
        <v>950</v>
      </c>
      <c r="H21" s="3">
        <f>ROUNDUP(G21*(1-D21/100)/10, 0)*10</f>
        <v>810</v>
      </c>
    </row>
    <row r="22" spans="1:9" s="8" customFormat="1" x14ac:dyDescent="0.3">
      <c r="A22" s="6" t="s">
        <v>10</v>
      </c>
      <c r="B22" s="6">
        <v>190</v>
      </c>
      <c r="C22" s="6">
        <v>9</v>
      </c>
      <c r="D22" s="6">
        <v>15</v>
      </c>
      <c r="E22" s="7">
        <f>B22*3</f>
        <v>570</v>
      </c>
      <c r="F22" s="6">
        <f>ROUNDUP(E22*(1-C22/100)/10, 0)*10</f>
        <v>520</v>
      </c>
      <c r="G22" s="7">
        <f>B22*5</f>
        <v>950</v>
      </c>
      <c r="H22" s="6">
        <f>ROUNDUP(G22*(1-D22/100)/10, 0)*10</f>
        <v>810</v>
      </c>
    </row>
    <row r="23" spans="1:9" s="8" customFormat="1" x14ac:dyDescent="0.3">
      <c r="A23" s="6" t="s">
        <v>11</v>
      </c>
      <c r="B23" s="6">
        <v>210</v>
      </c>
      <c r="C23" s="6">
        <v>8</v>
      </c>
      <c r="D23" s="6">
        <v>12</v>
      </c>
      <c r="E23" s="7">
        <f>B23*3</f>
        <v>630</v>
      </c>
      <c r="F23" s="6">
        <f>ROUNDUP(E23*(1-C23/100)/10, 0)*10</f>
        <v>580</v>
      </c>
      <c r="G23" s="7">
        <f>B23*5</f>
        <v>1050</v>
      </c>
      <c r="H23" s="6">
        <f>ROUNDUP(G23*(1-D23/100)/10, 0)*10</f>
        <v>930</v>
      </c>
    </row>
    <row r="24" spans="1:9" x14ac:dyDescent="0.3">
      <c r="A24" s="11" t="s">
        <v>20</v>
      </c>
      <c r="B24" s="2">
        <v>180</v>
      </c>
      <c r="C24" s="2">
        <v>50</v>
      </c>
      <c r="D24" s="4" t="s">
        <v>22</v>
      </c>
      <c r="E24" s="4">
        <f>B24*10</f>
        <v>1800</v>
      </c>
      <c r="F24" s="3">
        <f t="shared" ref="F24:F31" si="1">ROUNDUP(E24*(1-C24/100)/10, 0)*10</f>
        <v>900</v>
      </c>
      <c r="G24" s="4" t="s">
        <v>23</v>
      </c>
      <c r="H24" s="3"/>
    </row>
    <row r="25" spans="1:9" s="8" customFormat="1" x14ac:dyDescent="0.3">
      <c r="A25" s="11" t="s">
        <v>21</v>
      </c>
      <c r="B25" s="6">
        <v>200</v>
      </c>
      <c r="C25" s="6">
        <v>50</v>
      </c>
      <c r="D25" s="7" t="s">
        <v>22</v>
      </c>
      <c r="E25" s="7">
        <f>B25*10</f>
        <v>2000</v>
      </c>
      <c r="F25" s="6">
        <f t="shared" si="1"/>
        <v>1000</v>
      </c>
      <c r="G25" s="7" t="s">
        <v>23</v>
      </c>
      <c r="H25" s="6"/>
    </row>
    <row r="26" spans="1:9" x14ac:dyDescent="0.3">
      <c r="A26" s="11" t="s">
        <v>33</v>
      </c>
      <c r="B26" s="2">
        <v>180</v>
      </c>
      <c r="C26" s="2">
        <v>30</v>
      </c>
      <c r="D26" s="9" t="s">
        <v>38</v>
      </c>
      <c r="E26" s="10">
        <f>B26*4</f>
        <v>720</v>
      </c>
      <c r="F26" s="3">
        <f t="shared" si="1"/>
        <v>510</v>
      </c>
      <c r="G26" s="4"/>
      <c r="H26" s="2"/>
    </row>
    <row r="27" spans="1:9" x14ac:dyDescent="0.3">
      <c r="A27" s="11" t="s">
        <v>39</v>
      </c>
      <c r="B27" s="2">
        <v>180</v>
      </c>
      <c r="C27" s="2">
        <v>30</v>
      </c>
      <c r="D27" s="9" t="s">
        <v>38</v>
      </c>
      <c r="E27" s="10">
        <f>B27*2.5</f>
        <v>450</v>
      </c>
      <c r="F27" s="3">
        <f t="shared" si="1"/>
        <v>320</v>
      </c>
      <c r="G27" s="4"/>
      <c r="H27" s="2"/>
    </row>
    <row r="28" spans="1:9" x14ac:dyDescent="0.3">
      <c r="A28" s="11" t="s">
        <v>34</v>
      </c>
      <c r="B28" s="2">
        <v>180</v>
      </c>
      <c r="C28" s="2">
        <v>25</v>
      </c>
      <c r="D28" s="9" t="s">
        <v>38</v>
      </c>
      <c r="E28" s="10">
        <f>B28*3</f>
        <v>540</v>
      </c>
      <c r="F28" s="3">
        <f t="shared" si="1"/>
        <v>410</v>
      </c>
      <c r="G28" s="4"/>
      <c r="H28" s="2"/>
    </row>
    <row r="29" spans="1:9" x14ac:dyDescent="0.3">
      <c r="A29" s="11" t="s">
        <v>35</v>
      </c>
      <c r="B29" s="2">
        <v>200</v>
      </c>
      <c r="C29" s="2">
        <v>25</v>
      </c>
      <c r="D29" s="9" t="s">
        <v>38</v>
      </c>
      <c r="E29" s="10">
        <f>B29*3</f>
        <v>600</v>
      </c>
      <c r="F29" s="3">
        <f t="shared" si="1"/>
        <v>450</v>
      </c>
      <c r="G29" s="4"/>
      <c r="H29" s="2"/>
    </row>
    <row r="30" spans="1:9" x14ac:dyDescent="0.3">
      <c r="A30" s="11" t="s">
        <v>36</v>
      </c>
      <c r="B30" s="2">
        <v>170</v>
      </c>
      <c r="C30" s="2">
        <v>25</v>
      </c>
      <c r="D30" s="9" t="s">
        <v>38</v>
      </c>
      <c r="E30" s="10">
        <f>B30*2</f>
        <v>340</v>
      </c>
      <c r="F30" s="3">
        <f t="shared" si="1"/>
        <v>260</v>
      </c>
      <c r="G30" s="4" t="s">
        <v>23</v>
      </c>
      <c r="H30" s="3"/>
    </row>
    <row r="31" spans="1:9" x14ac:dyDescent="0.3">
      <c r="A31" s="11" t="s">
        <v>37</v>
      </c>
      <c r="B31" s="2">
        <v>190</v>
      </c>
      <c r="C31" s="2">
        <v>25</v>
      </c>
      <c r="D31" s="9" t="s">
        <v>38</v>
      </c>
      <c r="E31" s="10">
        <f>B31*2</f>
        <v>380</v>
      </c>
      <c r="F31" s="3">
        <f t="shared" si="1"/>
        <v>290</v>
      </c>
      <c r="G31" s="4" t="s">
        <v>23</v>
      </c>
      <c r="H31" s="3"/>
    </row>
    <row r="32" spans="1:9" x14ac:dyDescent="0.3">
      <c r="A32" s="2" t="s">
        <v>24</v>
      </c>
      <c r="B32" s="2">
        <v>190</v>
      </c>
      <c r="C32" s="2">
        <v>30</v>
      </c>
      <c r="D32" s="4" t="s">
        <v>25</v>
      </c>
      <c r="E32" s="4">
        <f>B32*24</f>
        <v>4560</v>
      </c>
      <c r="F32" s="3">
        <f>ROUNDUP(E32*(1-C32/100)/10, 0)*10</f>
        <v>3200</v>
      </c>
      <c r="G32" s="4" t="s">
        <v>23</v>
      </c>
      <c r="H32" s="3"/>
      <c r="I32" t="s">
        <v>28</v>
      </c>
    </row>
    <row r="33" spans="1:9" x14ac:dyDescent="0.3">
      <c r="A33" s="2" t="s">
        <v>27</v>
      </c>
      <c r="B33" s="2">
        <v>190</v>
      </c>
      <c r="C33" s="2">
        <v>40</v>
      </c>
      <c r="D33" s="4" t="s">
        <v>25</v>
      </c>
      <c r="E33" s="4">
        <f>B33*50</f>
        <v>9500</v>
      </c>
      <c r="F33" s="3">
        <f>ROUNDUP(E33*(1-C33/100)/10, 0)*10</f>
        <v>5700</v>
      </c>
      <c r="G33" s="4" t="s">
        <v>23</v>
      </c>
      <c r="H33" s="3"/>
      <c r="I33" t="s">
        <v>29</v>
      </c>
    </row>
    <row r="34" spans="1:9" x14ac:dyDescent="0.3">
      <c r="A34" s="2" t="s">
        <v>26</v>
      </c>
      <c r="B34" s="2">
        <v>190</v>
      </c>
      <c r="C34" s="2">
        <v>50</v>
      </c>
      <c r="D34" s="4" t="s">
        <v>25</v>
      </c>
      <c r="E34" s="4">
        <f>B34*100</f>
        <v>19000</v>
      </c>
      <c r="F34" s="3">
        <f>ROUNDUP(E34*(1-C34/100)/10, 0)*10</f>
        <v>9500</v>
      </c>
      <c r="G34" s="4" t="s">
        <v>23</v>
      </c>
      <c r="H34" s="3"/>
      <c r="I34" t="s">
        <v>30</v>
      </c>
    </row>
    <row r="35" spans="1:9" x14ac:dyDescent="0.3">
      <c r="A35" s="18" t="s">
        <v>32</v>
      </c>
      <c r="B35" s="18"/>
      <c r="C35" s="18"/>
      <c r="D35" s="18"/>
      <c r="E35" s="18"/>
      <c r="F35" s="18"/>
      <c r="G35" s="18"/>
      <c r="H35" s="18"/>
    </row>
    <row r="36" spans="1:9" x14ac:dyDescent="0.3">
      <c r="A36" s="2" t="s">
        <v>0</v>
      </c>
      <c r="B36" s="2" t="s">
        <v>1</v>
      </c>
      <c r="C36" s="2" t="s">
        <v>18</v>
      </c>
      <c r="D36" s="2" t="s">
        <v>19</v>
      </c>
      <c r="E36" s="4" t="s">
        <v>16</v>
      </c>
      <c r="F36" s="3" t="s">
        <v>5</v>
      </c>
      <c r="G36" s="4" t="s">
        <v>17</v>
      </c>
      <c r="H36" s="3" t="s">
        <v>7</v>
      </c>
    </row>
    <row r="37" spans="1:9" x14ac:dyDescent="0.3">
      <c r="A37" s="2" t="s">
        <v>8</v>
      </c>
      <c r="B37" s="2">
        <v>200</v>
      </c>
      <c r="C37" s="2">
        <v>10</v>
      </c>
      <c r="D37" s="2">
        <v>16</v>
      </c>
      <c r="E37" s="4">
        <f>B37*3</f>
        <v>600</v>
      </c>
      <c r="F37" s="3">
        <f t="shared" ref="F37:F51" si="2">ROUNDUP(E37*(1-C37/100)/10, 0)*10</f>
        <v>540</v>
      </c>
      <c r="G37" s="4">
        <f>B37*5</f>
        <v>1000</v>
      </c>
      <c r="H37" s="3">
        <f>ROUNDUP(G37*(1-D37/100)/10, 0)*10</f>
        <v>840</v>
      </c>
    </row>
    <row r="38" spans="1:9" x14ac:dyDescent="0.3">
      <c r="A38" s="2" t="s">
        <v>9</v>
      </c>
      <c r="B38" s="2">
        <v>220</v>
      </c>
      <c r="C38" s="2">
        <v>9</v>
      </c>
      <c r="D38" s="2">
        <v>15</v>
      </c>
      <c r="E38" s="4">
        <f>B38*3</f>
        <v>660</v>
      </c>
      <c r="F38" s="3">
        <f t="shared" si="2"/>
        <v>610</v>
      </c>
      <c r="G38" s="4">
        <f>B38*5</f>
        <v>1100</v>
      </c>
      <c r="H38" s="3">
        <f>ROUNDUP(G38*(1-D38/100)/10, 0)*10</f>
        <v>940</v>
      </c>
    </row>
    <row r="39" spans="1:9" s="8" customFormat="1" x14ac:dyDescent="0.3">
      <c r="A39" s="6" t="s">
        <v>10</v>
      </c>
      <c r="B39" s="6">
        <v>220</v>
      </c>
      <c r="C39" s="6">
        <v>9</v>
      </c>
      <c r="D39" s="6">
        <v>15</v>
      </c>
      <c r="E39" s="7">
        <f>B39*3</f>
        <v>660</v>
      </c>
      <c r="F39" s="6">
        <f t="shared" si="2"/>
        <v>610</v>
      </c>
      <c r="G39" s="7">
        <f>B39*5</f>
        <v>1100</v>
      </c>
      <c r="H39" s="6">
        <f>ROUNDUP(G39*(1-D39/100)/10, 0)*10</f>
        <v>940</v>
      </c>
    </row>
    <row r="40" spans="1:9" s="8" customFormat="1" x14ac:dyDescent="0.3">
      <c r="A40" s="6" t="s">
        <v>11</v>
      </c>
      <c r="B40" s="6">
        <v>240</v>
      </c>
      <c r="C40" s="6">
        <v>8</v>
      </c>
      <c r="D40" s="6">
        <v>12</v>
      </c>
      <c r="E40" s="7">
        <f>B40*3</f>
        <v>720</v>
      </c>
      <c r="F40" s="6">
        <f t="shared" si="2"/>
        <v>670</v>
      </c>
      <c r="G40" s="7">
        <f>B40*5</f>
        <v>1200</v>
      </c>
      <c r="H40" s="6">
        <f>ROUNDUP(G40*(1-D40/100)/10, 0)*10</f>
        <v>1060</v>
      </c>
    </row>
    <row r="41" spans="1:9" x14ac:dyDescent="0.3">
      <c r="A41" s="2" t="s">
        <v>20</v>
      </c>
      <c r="B41" s="2">
        <v>210</v>
      </c>
      <c r="C41" s="2">
        <v>50</v>
      </c>
      <c r="D41" s="4" t="s">
        <v>22</v>
      </c>
      <c r="E41" s="4">
        <f>B41*10</f>
        <v>2100</v>
      </c>
      <c r="F41" s="3">
        <f t="shared" si="2"/>
        <v>1050</v>
      </c>
      <c r="G41" s="4" t="s">
        <v>23</v>
      </c>
      <c r="H41" s="3"/>
    </row>
    <row r="42" spans="1:9" s="8" customFormat="1" x14ac:dyDescent="0.3">
      <c r="A42" s="6" t="s">
        <v>21</v>
      </c>
      <c r="B42" s="6">
        <v>230</v>
      </c>
      <c r="C42" s="6">
        <v>50</v>
      </c>
      <c r="D42" s="7" t="s">
        <v>22</v>
      </c>
      <c r="E42" s="7">
        <f>B42*10</f>
        <v>2300</v>
      </c>
      <c r="F42" s="6">
        <f t="shared" si="2"/>
        <v>1150</v>
      </c>
      <c r="G42" s="7" t="s">
        <v>23</v>
      </c>
      <c r="H42" s="6"/>
    </row>
    <row r="43" spans="1:9" x14ac:dyDescent="0.3">
      <c r="A43" s="11" t="s">
        <v>33</v>
      </c>
      <c r="B43" s="2">
        <v>200</v>
      </c>
      <c r="C43" s="2">
        <v>30</v>
      </c>
      <c r="D43" s="9" t="s">
        <v>38</v>
      </c>
      <c r="E43" s="10">
        <f>B43*4</f>
        <v>800</v>
      </c>
      <c r="F43" s="3">
        <f t="shared" si="2"/>
        <v>560</v>
      </c>
      <c r="G43" s="4"/>
      <c r="H43" s="2"/>
    </row>
    <row r="44" spans="1:9" x14ac:dyDescent="0.3">
      <c r="A44" s="11" t="s">
        <v>39</v>
      </c>
      <c r="B44" s="2">
        <v>200</v>
      </c>
      <c r="C44" s="2">
        <v>30</v>
      </c>
      <c r="D44" s="9" t="s">
        <v>38</v>
      </c>
      <c r="E44" s="10">
        <f>B44*2.5</f>
        <v>500</v>
      </c>
      <c r="F44" s="3">
        <f t="shared" si="2"/>
        <v>350</v>
      </c>
      <c r="G44" s="4"/>
      <c r="H44" s="2"/>
    </row>
    <row r="45" spans="1:9" x14ac:dyDescent="0.3">
      <c r="A45" s="11" t="s">
        <v>34</v>
      </c>
      <c r="B45" s="2">
        <v>200</v>
      </c>
      <c r="C45" s="2">
        <v>25</v>
      </c>
      <c r="D45" s="9" t="s">
        <v>38</v>
      </c>
      <c r="E45" s="10">
        <f>B45*3</f>
        <v>600</v>
      </c>
      <c r="F45" s="3">
        <f t="shared" si="2"/>
        <v>450</v>
      </c>
      <c r="G45" s="4"/>
      <c r="H45" s="2"/>
    </row>
    <row r="46" spans="1:9" x14ac:dyDescent="0.3">
      <c r="A46" s="11" t="s">
        <v>35</v>
      </c>
      <c r="B46" s="2">
        <v>220</v>
      </c>
      <c r="C46" s="2">
        <v>25</v>
      </c>
      <c r="D46" s="9" t="s">
        <v>38</v>
      </c>
      <c r="E46" s="10">
        <f>B46*3</f>
        <v>660</v>
      </c>
      <c r="F46" s="3">
        <f t="shared" si="2"/>
        <v>500</v>
      </c>
      <c r="G46" s="4"/>
      <c r="H46" s="2"/>
    </row>
    <row r="47" spans="1:9" x14ac:dyDescent="0.3">
      <c r="A47" s="11" t="s">
        <v>36</v>
      </c>
      <c r="B47" s="2">
        <v>200</v>
      </c>
      <c r="C47" s="2">
        <v>25</v>
      </c>
      <c r="D47" s="9" t="s">
        <v>38</v>
      </c>
      <c r="E47" s="10">
        <f>B47*2</f>
        <v>400</v>
      </c>
      <c r="F47" s="3">
        <f t="shared" si="2"/>
        <v>300</v>
      </c>
      <c r="G47" s="4" t="s">
        <v>23</v>
      </c>
      <c r="H47" s="3"/>
    </row>
    <row r="48" spans="1:9" x14ac:dyDescent="0.3">
      <c r="A48" s="11" t="s">
        <v>37</v>
      </c>
      <c r="B48" s="2">
        <v>220</v>
      </c>
      <c r="C48" s="2">
        <v>25</v>
      </c>
      <c r="D48" s="9" t="s">
        <v>38</v>
      </c>
      <c r="E48" s="10">
        <f>B48*2</f>
        <v>440</v>
      </c>
      <c r="F48" s="3">
        <f t="shared" si="2"/>
        <v>330</v>
      </c>
      <c r="G48" s="4" t="s">
        <v>23</v>
      </c>
      <c r="H48" s="3"/>
    </row>
    <row r="49" spans="1:9" x14ac:dyDescent="0.3">
      <c r="A49" s="2" t="s">
        <v>24</v>
      </c>
      <c r="B49" s="2">
        <v>220</v>
      </c>
      <c r="C49" s="2">
        <v>30</v>
      </c>
      <c r="D49" s="4" t="s">
        <v>25</v>
      </c>
      <c r="E49" s="4">
        <f>B49*24</f>
        <v>5280</v>
      </c>
      <c r="F49" s="3">
        <f>ROUNDUP(E49*(1-C49/100)/10, 0)*10</f>
        <v>3700</v>
      </c>
      <c r="G49" s="4" t="s">
        <v>23</v>
      </c>
      <c r="H49" s="3"/>
      <c r="I49" t="s">
        <v>28</v>
      </c>
    </row>
    <row r="50" spans="1:9" x14ac:dyDescent="0.3">
      <c r="A50" s="2" t="s">
        <v>27</v>
      </c>
      <c r="B50" s="2">
        <v>220</v>
      </c>
      <c r="C50" s="2">
        <v>40</v>
      </c>
      <c r="D50" s="4" t="s">
        <v>25</v>
      </c>
      <c r="E50" s="4">
        <f>B50*50</f>
        <v>11000</v>
      </c>
      <c r="F50" s="3">
        <f t="shared" si="2"/>
        <v>6600</v>
      </c>
      <c r="G50" s="4" t="s">
        <v>23</v>
      </c>
      <c r="H50" s="3"/>
      <c r="I50" t="s">
        <v>29</v>
      </c>
    </row>
    <row r="51" spans="1:9" x14ac:dyDescent="0.3">
      <c r="A51" s="2" t="s">
        <v>26</v>
      </c>
      <c r="B51" s="2">
        <v>220</v>
      </c>
      <c r="C51" s="2">
        <v>50</v>
      </c>
      <c r="D51" s="4" t="s">
        <v>25</v>
      </c>
      <c r="E51" s="4">
        <f>B51*100</f>
        <v>22000</v>
      </c>
      <c r="F51" s="3">
        <f t="shared" si="2"/>
        <v>11000</v>
      </c>
      <c r="G51" s="4" t="s">
        <v>23</v>
      </c>
      <c r="H51" s="3"/>
      <c r="I51" t="s">
        <v>30</v>
      </c>
    </row>
  </sheetData>
  <mergeCells count="3">
    <mergeCell ref="A1:H1"/>
    <mergeCell ref="A18:H18"/>
    <mergeCell ref="A35:H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E09F-7836-4ADF-A109-F6B87FB9782D}">
  <dimension ref="A1:K155"/>
  <sheetViews>
    <sheetView tabSelected="1" topLeftCell="A115" zoomScaleNormal="100" workbookViewId="0">
      <selection activeCell="F156" sqref="F156"/>
    </sheetView>
  </sheetViews>
  <sheetFormatPr defaultRowHeight="14.4" x14ac:dyDescent="0.3"/>
  <cols>
    <col min="1" max="1" width="16.44140625" style="21" customWidth="1"/>
    <col min="2" max="2" width="16.44140625" style="27" customWidth="1"/>
    <col min="3" max="5" width="37.77734375" style="24" customWidth="1"/>
    <col min="6" max="6" width="14.21875" style="23" customWidth="1"/>
    <col min="7" max="16384" width="8.88671875" style="23"/>
  </cols>
  <sheetData>
    <row r="1" spans="1:6" x14ac:dyDescent="0.3">
      <c r="A1" s="21" t="s">
        <v>61</v>
      </c>
      <c r="B1" s="25" t="s">
        <v>65</v>
      </c>
      <c r="C1" s="22" t="s">
        <v>0</v>
      </c>
      <c r="D1" s="22" t="s">
        <v>54</v>
      </c>
      <c r="E1" s="22" t="s">
        <v>63</v>
      </c>
      <c r="F1" s="21" t="s">
        <v>57</v>
      </c>
    </row>
    <row r="2" spans="1:6" x14ac:dyDescent="0.3">
      <c r="A2" s="21" t="s">
        <v>62</v>
      </c>
      <c r="B2" s="26" t="s">
        <v>66</v>
      </c>
      <c r="C2" s="22" t="s">
        <v>46</v>
      </c>
      <c r="D2" s="22" t="s">
        <v>55</v>
      </c>
      <c r="E2" s="22" t="s">
        <v>43</v>
      </c>
      <c r="F2" s="21">
        <v>150</v>
      </c>
    </row>
    <row r="3" spans="1:6" x14ac:dyDescent="0.3">
      <c r="A3" s="21" t="s">
        <v>62</v>
      </c>
      <c r="B3" s="26" t="s">
        <v>66</v>
      </c>
      <c r="C3" s="22" t="s">
        <v>46</v>
      </c>
      <c r="D3" s="22" t="s">
        <v>55</v>
      </c>
      <c r="E3" s="22" t="s">
        <v>44</v>
      </c>
      <c r="F3" s="21">
        <v>170</v>
      </c>
    </row>
    <row r="4" spans="1:6" x14ac:dyDescent="0.3">
      <c r="A4" s="21" t="s">
        <v>62</v>
      </c>
      <c r="B4" s="26" t="s">
        <v>66</v>
      </c>
      <c r="C4" s="22" t="s">
        <v>46</v>
      </c>
      <c r="D4" s="22" t="s">
        <v>56</v>
      </c>
      <c r="E4" s="22" t="s">
        <v>43</v>
      </c>
      <c r="F4" s="21">
        <v>170</v>
      </c>
    </row>
    <row r="5" spans="1:6" x14ac:dyDescent="0.3">
      <c r="A5" s="21" t="s">
        <v>62</v>
      </c>
      <c r="B5" s="26" t="s">
        <v>66</v>
      </c>
      <c r="C5" s="22" t="s">
        <v>46</v>
      </c>
      <c r="D5" s="22" t="s">
        <v>56</v>
      </c>
      <c r="E5" s="22" t="s">
        <v>44</v>
      </c>
      <c r="F5" s="21">
        <v>190</v>
      </c>
    </row>
    <row r="6" spans="1:6" x14ac:dyDescent="0.3">
      <c r="A6" s="21" t="s">
        <v>62</v>
      </c>
      <c r="B6" s="26" t="s">
        <v>66</v>
      </c>
      <c r="C6" s="22" t="s">
        <v>47</v>
      </c>
      <c r="D6" s="22" t="s">
        <v>55</v>
      </c>
      <c r="E6" s="22" t="s">
        <v>82</v>
      </c>
      <c r="F6" s="21">
        <v>410</v>
      </c>
    </row>
    <row r="7" spans="1:6" x14ac:dyDescent="0.3">
      <c r="A7" s="21" t="s">
        <v>62</v>
      </c>
      <c r="B7" s="26" t="s">
        <v>66</v>
      </c>
      <c r="C7" s="22" t="s">
        <v>47</v>
      </c>
      <c r="D7" s="22" t="s">
        <v>55</v>
      </c>
      <c r="E7" s="22" t="s">
        <v>83</v>
      </c>
      <c r="F7" s="21">
        <v>470</v>
      </c>
    </row>
    <row r="8" spans="1:6" x14ac:dyDescent="0.3">
      <c r="A8" s="21" t="s">
        <v>62</v>
      </c>
      <c r="B8" s="26" t="s">
        <v>66</v>
      </c>
      <c r="C8" s="22" t="s">
        <v>47</v>
      </c>
      <c r="D8" s="22" t="s">
        <v>56</v>
      </c>
      <c r="E8" s="22" t="s">
        <v>82</v>
      </c>
      <c r="F8" s="21">
        <v>470</v>
      </c>
    </row>
    <row r="9" spans="1:6" x14ac:dyDescent="0.3">
      <c r="A9" s="21" t="s">
        <v>62</v>
      </c>
      <c r="B9" s="26" t="s">
        <v>66</v>
      </c>
      <c r="C9" s="22" t="s">
        <v>47</v>
      </c>
      <c r="D9" s="22" t="s">
        <v>56</v>
      </c>
      <c r="E9" s="22" t="s">
        <v>83</v>
      </c>
      <c r="F9" s="21">
        <v>530</v>
      </c>
    </row>
    <row r="10" spans="1:6" x14ac:dyDescent="0.3">
      <c r="A10" s="21" t="s">
        <v>62</v>
      </c>
      <c r="B10" s="26" t="s">
        <v>66</v>
      </c>
      <c r="C10" s="22" t="s">
        <v>48</v>
      </c>
      <c r="D10" s="22" t="s">
        <v>55</v>
      </c>
      <c r="E10" s="22" t="s">
        <v>84</v>
      </c>
      <c r="F10" s="21">
        <v>620</v>
      </c>
    </row>
    <row r="11" spans="1:6" x14ac:dyDescent="0.3">
      <c r="A11" s="21" t="s">
        <v>62</v>
      </c>
      <c r="B11" s="26" t="s">
        <v>66</v>
      </c>
      <c r="C11" s="22" t="s">
        <v>48</v>
      </c>
      <c r="D11" s="22" t="s">
        <v>55</v>
      </c>
      <c r="E11" s="22" t="s">
        <v>85</v>
      </c>
      <c r="F11" s="21">
        <v>710</v>
      </c>
    </row>
    <row r="12" spans="1:6" x14ac:dyDescent="0.3">
      <c r="A12" s="21" t="s">
        <v>62</v>
      </c>
      <c r="B12" s="26" t="s">
        <v>66</v>
      </c>
      <c r="C12" s="22" t="s">
        <v>48</v>
      </c>
      <c r="D12" s="22" t="s">
        <v>56</v>
      </c>
      <c r="E12" s="22" t="s">
        <v>84</v>
      </c>
      <c r="F12" s="21">
        <v>720</v>
      </c>
    </row>
    <row r="13" spans="1:6" x14ac:dyDescent="0.3">
      <c r="A13" s="21" t="s">
        <v>62</v>
      </c>
      <c r="B13" s="26" t="s">
        <v>66</v>
      </c>
      <c r="C13" s="22" t="s">
        <v>48</v>
      </c>
      <c r="D13" s="22" t="s">
        <v>56</v>
      </c>
      <c r="E13" s="22" t="s">
        <v>85</v>
      </c>
      <c r="F13" s="21">
        <v>810</v>
      </c>
    </row>
    <row r="14" spans="1:6" x14ac:dyDescent="0.3">
      <c r="A14" s="21" t="s">
        <v>62</v>
      </c>
      <c r="B14" s="26" t="s">
        <v>66</v>
      </c>
      <c r="C14" s="22" t="s">
        <v>64</v>
      </c>
      <c r="D14" s="22" t="s">
        <v>55</v>
      </c>
      <c r="E14" s="22" t="s">
        <v>45</v>
      </c>
      <c r="F14" s="21">
        <v>700</v>
      </c>
    </row>
    <row r="15" spans="1:6" x14ac:dyDescent="0.3">
      <c r="A15" s="21" t="s">
        <v>62</v>
      </c>
      <c r="B15" s="26" t="s">
        <v>66</v>
      </c>
      <c r="C15" s="22" t="s">
        <v>64</v>
      </c>
      <c r="D15" s="22" t="s">
        <v>56</v>
      </c>
      <c r="E15" s="22" t="s">
        <v>45</v>
      </c>
      <c r="F15" s="21">
        <v>900</v>
      </c>
    </row>
    <row r="16" spans="1:6" x14ac:dyDescent="0.3">
      <c r="A16" s="21" t="s">
        <v>62</v>
      </c>
      <c r="B16" s="26" t="s">
        <v>66</v>
      </c>
      <c r="C16" s="22" t="s">
        <v>52</v>
      </c>
      <c r="D16" s="22" t="s">
        <v>55</v>
      </c>
      <c r="E16" s="22" t="s">
        <v>49</v>
      </c>
      <c r="F16" s="21">
        <v>420</v>
      </c>
    </row>
    <row r="17" spans="1:6" x14ac:dyDescent="0.3">
      <c r="A17" s="21" t="s">
        <v>62</v>
      </c>
      <c r="B17" s="26" t="s">
        <v>66</v>
      </c>
      <c r="C17" s="22" t="s">
        <v>60</v>
      </c>
      <c r="D17" s="22" t="s">
        <v>55</v>
      </c>
      <c r="E17" s="22" t="s">
        <v>53</v>
      </c>
      <c r="F17" s="21">
        <v>270</v>
      </c>
    </row>
    <row r="18" spans="1:6" x14ac:dyDescent="0.3">
      <c r="A18" s="21" t="s">
        <v>62</v>
      </c>
      <c r="B18" s="26" t="s">
        <v>66</v>
      </c>
      <c r="C18" s="22" t="s">
        <v>59</v>
      </c>
      <c r="D18" s="22" t="s">
        <v>55</v>
      </c>
      <c r="E18" s="22" t="s">
        <v>50</v>
      </c>
      <c r="F18" s="21">
        <v>340</v>
      </c>
    </row>
    <row r="19" spans="1:6" x14ac:dyDescent="0.3">
      <c r="A19" s="21" t="s">
        <v>62</v>
      </c>
      <c r="B19" s="26" t="s">
        <v>66</v>
      </c>
      <c r="C19" s="22" t="s">
        <v>59</v>
      </c>
      <c r="D19" s="22" t="s">
        <v>56</v>
      </c>
      <c r="E19" s="22" t="s">
        <v>50</v>
      </c>
      <c r="F19" s="21">
        <v>390</v>
      </c>
    </row>
    <row r="20" spans="1:6" x14ac:dyDescent="0.3">
      <c r="A20" s="21" t="s">
        <v>62</v>
      </c>
      <c r="B20" s="26" t="s">
        <v>66</v>
      </c>
      <c r="C20" s="22" t="s">
        <v>58</v>
      </c>
      <c r="D20" s="22" t="s">
        <v>55</v>
      </c>
      <c r="E20" s="22" t="s">
        <v>51</v>
      </c>
      <c r="F20" s="21">
        <v>230</v>
      </c>
    </row>
    <row r="21" spans="1:6" x14ac:dyDescent="0.3">
      <c r="A21" s="21" t="s">
        <v>62</v>
      </c>
      <c r="B21" s="26" t="s">
        <v>66</v>
      </c>
      <c r="C21" s="22" t="s">
        <v>58</v>
      </c>
      <c r="D21" s="22" t="s">
        <v>56</v>
      </c>
      <c r="E21" s="22" t="s">
        <v>51</v>
      </c>
      <c r="F21" s="21">
        <v>260</v>
      </c>
    </row>
    <row r="22" spans="1:6" x14ac:dyDescent="0.3">
      <c r="A22" s="21" t="s">
        <v>67</v>
      </c>
      <c r="B22" s="26" t="s">
        <v>68</v>
      </c>
      <c r="C22" s="22" t="s">
        <v>46</v>
      </c>
      <c r="D22" s="22" t="s">
        <v>55</v>
      </c>
      <c r="E22" s="22" t="s">
        <v>43</v>
      </c>
      <c r="F22" s="21">
        <v>170</v>
      </c>
    </row>
    <row r="23" spans="1:6" x14ac:dyDescent="0.3">
      <c r="A23" s="21" t="s">
        <v>67</v>
      </c>
      <c r="B23" s="26" t="s">
        <v>68</v>
      </c>
      <c r="C23" s="22" t="s">
        <v>46</v>
      </c>
      <c r="D23" s="22" t="s">
        <v>55</v>
      </c>
      <c r="E23" s="22" t="s">
        <v>44</v>
      </c>
      <c r="F23" s="21">
        <v>190</v>
      </c>
    </row>
    <row r="24" spans="1:6" x14ac:dyDescent="0.3">
      <c r="A24" s="21" t="s">
        <v>67</v>
      </c>
      <c r="B24" s="26" t="s">
        <v>68</v>
      </c>
      <c r="C24" s="22" t="s">
        <v>46</v>
      </c>
      <c r="D24" s="22" t="s">
        <v>56</v>
      </c>
      <c r="E24" s="22" t="s">
        <v>43</v>
      </c>
      <c r="F24" s="21">
        <v>190</v>
      </c>
    </row>
    <row r="25" spans="1:6" x14ac:dyDescent="0.3">
      <c r="A25" s="21" t="s">
        <v>67</v>
      </c>
      <c r="B25" s="26" t="s">
        <v>68</v>
      </c>
      <c r="C25" s="22" t="s">
        <v>46</v>
      </c>
      <c r="D25" s="22" t="s">
        <v>56</v>
      </c>
      <c r="E25" s="22" t="s">
        <v>44</v>
      </c>
      <c r="F25" s="21">
        <v>210</v>
      </c>
    </row>
    <row r="26" spans="1:6" x14ac:dyDescent="0.3">
      <c r="A26" s="21" t="s">
        <v>67</v>
      </c>
      <c r="B26" s="26" t="s">
        <v>68</v>
      </c>
      <c r="C26" s="22" t="s">
        <v>47</v>
      </c>
      <c r="D26" s="22" t="s">
        <v>55</v>
      </c>
      <c r="E26" s="22" t="s">
        <v>82</v>
      </c>
      <c r="F26" s="21">
        <v>460</v>
      </c>
    </row>
    <row r="27" spans="1:6" x14ac:dyDescent="0.3">
      <c r="A27" s="21" t="s">
        <v>67</v>
      </c>
      <c r="B27" s="26" t="s">
        <v>68</v>
      </c>
      <c r="C27" s="22" t="s">
        <v>47</v>
      </c>
      <c r="D27" s="22" t="s">
        <v>55</v>
      </c>
      <c r="E27" s="22" t="s">
        <v>83</v>
      </c>
      <c r="F27" s="21">
        <v>520</v>
      </c>
    </row>
    <row r="28" spans="1:6" x14ac:dyDescent="0.3">
      <c r="A28" s="21" t="s">
        <v>67</v>
      </c>
      <c r="B28" s="26" t="s">
        <v>68</v>
      </c>
      <c r="C28" s="22" t="s">
        <v>47</v>
      </c>
      <c r="D28" s="22" t="s">
        <v>56</v>
      </c>
      <c r="E28" s="22" t="s">
        <v>82</v>
      </c>
      <c r="F28" s="21">
        <v>520</v>
      </c>
    </row>
    <row r="29" spans="1:6" x14ac:dyDescent="0.3">
      <c r="A29" s="21" t="s">
        <v>67</v>
      </c>
      <c r="B29" s="26" t="s">
        <v>68</v>
      </c>
      <c r="C29" s="22" t="s">
        <v>47</v>
      </c>
      <c r="D29" s="22" t="s">
        <v>56</v>
      </c>
      <c r="E29" s="22" t="s">
        <v>83</v>
      </c>
      <c r="F29" s="21">
        <v>580</v>
      </c>
    </row>
    <row r="30" spans="1:6" x14ac:dyDescent="0.3">
      <c r="A30" s="21" t="s">
        <v>67</v>
      </c>
      <c r="B30" s="26" t="s">
        <v>68</v>
      </c>
      <c r="C30" s="22" t="s">
        <v>48</v>
      </c>
      <c r="D30" s="22" t="s">
        <v>55</v>
      </c>
      <c r="E30" s="22" t="s">
        <v>84</v>
      </c>
      <c r="F30" s="21">
        <v>700</v>
      </c>
    </row>
    <row r="31" spans="1:6" x14ac:dyDescent="0.3">
      <c r="A31" s="21" t="s">
        <v>67</v>
      </c>
      <c r="B31" s="26" t="s">
        <v>68</v>
      </c>
      <c r="C31" s="22" t="s">
        <v>48</v>
      </c>
      <c r="D31" s="22" t="s">
        <v>55</v>
      </c>
      <c r="E31" s="22" t="s">
        <v>85</v>
      </c>
      <c r="F31" s="21">
        <v>790</v>
      </c>
    </row>
    <row r="32" spans="1:6" x14ac:dyDescent="0.3">
      <c r="A32" s="21" t="s">
        <v>67</v>
      </c>
      <c r="B32" s="26" t="s">
        <v>68</v>
      </c>
      <c r="C32" s="22" t="s">
        <v>48</v>
      </c>
      <c r="D32" s="22" t="s">
        <v>56</v>
      </c>
      <c r="E32" s="22" t="s">
        <v>84</v>
      </c>
      <c r="F32" s="21">
        <v>800</v>
      </c>
    </row>
    <row r="33" spans="1:6" x14ac:dyDescent="0.3">
      <c r="A33" s="21" t="s">
        <v>67</v>
      </c>
      <c r="B33" s="26" t="s">
        <v>68</v>
      </c>
      <c r="C33" s="22" t="s">
        <v>48</v>
      </c>
      <c r="D33" s="22" t="s">
        <v>56</v>
      </c>
      <c r="E33" s="22" t="s">
        <v>85</v>
      </c>
      <c r="F33" s="21">
        <v>900</v>
      </c>
    </row>
    <row r="34" spans="1:6" x14ac:dyDescent="0.3">
      <c r="A34" s="21" t="s">
        <v>67</v>
      </c>
      <c r="B34" s="26" t="s">
        <v>68</v>
      </c>
      <c r="C34" s="22" t="s">
        <v>64</v>
      </c>
      <c r="D34" s="22" t="s">
        <v>55</v>
      </c>
      <c r="E34" s="22" t="s">
        <v>45</v>
      </c>
      <c r="F34" s="21">
        <v>850</v>
      </c>
    </row>
    <row r="35" spans="1:6" x14ac:dyDescent="0.3">
      <c r="A35" s="21" t="s">
        <v>67</v>
      </c>
      <c r="B35" s="26" t="s">
        <v>68</v>
      </c>
      <c r="C35" s="22" t="s">
        <v>64</v>
      </c>
      <c r="D35" s="22" t="s">
        <v>56</v>
      </c>
      <c r="E35" s="22" t="s">
        <v>45</v>
      </c>
      <c r="F35" s="21">
        <v>950</v>
      </c>
    </row>
    <row r="36" spans="1:6" x14ac:dyDescent="0.3">
      <c r="A36" s="21" t="s">
        <v>67</v>
      </c>
      <c r="B36" s="26" t="s">
        <v>68</v>
      </c>
      <c r="C36" s="22" t="s">
        <v>52</v>
      </c>
      <c r="D36" s="22" t="s">
        <v>55</v>
      </c>
      <c r="E36" s="22" t="s">
        <v>49</v>
      </c>
      <c r="F36" s="21">
        <v>480</v>
      </c>
    </row>
    <row r="37" spans="1:6" x14ac:dyDescent="0.3">
      <c r="A37" s="21" t="s">
        <v>67</v>
      </c>
      <c r="B37" s="26" t="s">
        <v>68</v>
      </c>
      <c r="C37" s="22" t="s">
        <v>60</v>
      </c>
      <c r="D37" s="22" t="s">
        <v>55</v>
      </c>
      <c r="E37" s="22" t="s">
        <v>53</v>
      </c>
      <c r="F37" s="21">
        <v>300</v>
      </c>
    </row>
    <row r="38" spans="1:6" x14ac:dyDescent="0.3">
      <c r="A38" s="21" t="s">
        <v>67</v>
      </c>
      <c r="B38" s="26" t="s">
        <v>68</v>
      </c>
      <c r="C38" s="22" t="s">
        <v>59</v>
      </c>
      <c r="D38" s="22" t="s">
        <v>55</v>
      </c>
      <c r="E38" s="22" t="s">
        <v>50</v>
      </c>
      <c r="F38" s="21">
        <v>390</v>
      </c>
    </row>
    <row r="39" spans="1:6" x14ac:dyDescent="0.3">
      <c r="A39" s="21" t="s">
        <v>67</v>
      </c>
      <c r="B39" s="26" t="s">
        <v>68</v>
      </c>
      <c r="C39" s="22" t="s">
        <v>59</v>
      </c>
      <c r="D39" s="22" t="s">
        <v>56</v>
      </c>
      <c r="E39" s="22" t="s">
        <v>50</v>
      </c>
      <c r="F39" s="21">
        <v>430</v>
      </c>
    </row>
    <row r="40" spans="1:6" x14ac:dyDescent="0.3">
      <c r="A40" s="21" t="s">
        <v>67</v>
      </c>
      <c r="B40" s="26" t="s">
        <v>68</v>
      </c>
      <c r="C40" s="22" t="s">
        <v>58</v>
      </c>
      <c r="D40" s="22" t="s">
        <v>55</v>
      </c>
      <c r="E40" s="22" t="s">
        <v>51</v>
      </c>
      <c r="F40" s="21">
        <v>260</v>
      </c>
    </row>
    <row r="41" spans="1:6" x14ac:dyDescent="0.3">
      <c r="A41" s="21" t="s">
        <v>67</v>
      </c>
      <c r="B41" s="26" t="s">
        <v>68</v>
      </c>
      <c r="C41" s="22" t="s">
        <v>58</v>
      </c>
      <c r="D41" s="22" t="s">
        <v>56</v>
      </c>
      <c r="E41" s="22" t="s">
        <v>51</v>
      </c>
      <c r="F41" s="21">
        <v>290</v>
      </c>
    </row>
    <row r="42" spans="1:6" x14ac:dyDescent="0.3">
      <c r="A42" s="21" t="s">
        <v>69</v>
      </c>
      <c r="B42" s="26" t="s">
        <v>70</v>
      </c>
      <c r="C42" s="22" t="s">
        <v>46</v>
      </c>
      <c r="D42" s="22" t="s">
        <v>55</v>
      </c>
      <c r="E42" s="22" t="s">
        <v>43</v>
      </c>
      <c r="F42" s="2">
        <v>190</v>
      </c>
    </row>
    <row r="43" spans="1:6" x14ac:dyDescent="0.3">
      <c r="A43" s="21" t="s">
        <v>69</v>
      </c>
      <c r="B43" s="26" t="s">
        <v>70</v>
      </c>
      <c r="C43" s="22" t="s">
        <v>46</v>
      </c>
      <c r="D43" s="22" t="s">
        <v>55</v>
      </c>
      <c r="E43" s="22" t="s">
        <v>44</v>
      </c>
      <c r="F43" s="2">
        <v>210</v>
      </c>
    </row>
    <row r="44" spans="1:6" x14ac:dyDescent="0.3">
      <c r="A44" s="21" t="s">
        <v>69</v>
      </c>
      <c r="B44" s="26" t="s">
        <v>70</v>
      </c>
      <c r="C44" s="22" t="s">
        <v>46</v>
      </c>
      <c r="D44" s="22" t="s">
        <v>56</v>
      </c>
      <c r="E44" s="22" t="s">
        <v>43</v>
      </c>
      <c r="F44" s="6">
        <v>210</v>
      </c>
    </row>
    <row r="45" spans="1:6" x14ac:dyDescent="0.3">
      <c r="A45" s="21" t="s">
        <v>69</v>
      </c>
      <c r="B45" s="26" t="s">
        <v>70</v>
      </c>
      <c r="C45" s="22" t="s">
        <v>46</v>
      </c>
      <c r="D45" s="22" t="s">
        <v>56</v>
      </c>
      <c r="E45" s="22" t="s">
        <v>44</v>
      </c>
      <c r="F45" s="6">
        <v>230</v>
      </c>
    </row>
    <row r="46" spans="1:6" x14ac:dyDescent="0.3">
      <c r="A46" s="21" t="s">
        <v>69</v>
      </c>
      <c r="B46" s="26" t="s">
        <v>70</v>
      </c>
      <c r="C46" s="22" t="s">
        <v>47</v>
      </c>
      <c r="D46" s="22" t="s">
        <v>55</v>
      </c>
      <c r="E46" s="22" t="s">
        <v>82</v>
      </c>
      <c r="F46" s="21">
        <v>520</v>
      </c>
    </row>
    <row r="47" spans="1:6" x14ac:dyDescent="0.3">
      <c r="A47" s="21" t="s">
        <v>69</v>
      </c>
      <c r="B47" s="26" t="s">
        <v>70</v>
      </c>
      <c r="C47" s="22" t="s">
        <v>47</v>
      </c>
      <c r="D47" s="22" t="s">
        <v>55</v>
      </c>
      <c r="E47" s="22" t="s">
        <v>83</v>
      </c>
      <c r="F47" s="21">
        <v>580</v>
      </c>
    </row>
    <row r="48" spans="1:6" x14ac:dyDescent="0.3">
      <c r="A48" s="21" t="s">
        <v>69</v>
      </c>
      <c r="B48" s="26" t="s">
        <v>70</v>
      </c>
      <c r="C48" s="22" t="s">
        <v>47</v>
      </c>
      <c r="D48" s="22" t="s">
        <v>56</v>
      </c>
      <c r="E48" s="22" t="s">
        <v>82</v>
      </c>
      <c r="F48" s="21">
        <v>580</v>
      </c>
    </row>
    <row r="49" spans="1:6" x14ac:dyDescent="0.3">
      <c r="A49" s="21" t="s">
        <v>69</v>
      </c>
      <c r="B49" s="26" t="s">
        <v>70</v>
      </c>
      <c r="C49" s="22" t="s">
        <v>47</v>
      </c>
      <c r="D49" s="22" t="s">
        <v>56</v>
      </c>
      <c r="E49" s="22" t="s">
        <v>83</v>
      </c>
      <c r="F49" s="21">
        <v>640</v>
      </c>
    </row>
    <row r="50" spans="1:6" x14ac:dyDescent="0.3">
      <c r="A50" s="21" t="s">
        <v>69</v>
      </c>
      <c r="B50" s="26" t="s">
        <v>70</v>
      </c>
      <c r="C50" s="22" t="s">
        <v>48</v>
      </c>
      <c r="D50" s="22" t="s">
        <v>55</v>
      </c>
      <c r="E50" s="22" t="s">
        <v>84</v>
      </c>
      <c r="F50" s="21">
        <v>780</v>
      </c>
    </row>
    <row r="51" spans="1:6" x14ac:dyDescent="0.3">
      <c r="A51" s="21" t="s">
        <v>69</v>
      </c>
      <c r="B51" s="26" t="s">
        <v>70</v>
      </c>
      <c r="C51" s="22" t="s">
        <v>48</v>
      </c>
      <c r="D51" s="22" t="s">
        <v>55</v>
      </c>
      <c r="E51" s="22" t="s">
        <v>85</v>
      </c>
      <c r="F51" s="21">
        <v>880</v>
      </c>
    </row>
    <row r="52" spans="1:6" x14ac:dyDescent="0.3">
      <c r="A52" s="21" t="s">
        <v>69</v>
      </c>
      <c r="B52" s="26" t="s">
        <v>70</v>
      </c>
      <c r="C52" s="22" t="s">
        <v>48</v>
      </c>
      <c r="D52" s="22" t="s">
        <v>56</v>
      </c>
      <c r="E52" s="22" t="s">
        <v>84</v>
      </c>
      <c r="F52" s="21">
        <v>890</v>
      </c>
    </row>
    <row r="53" spans="1:6" x14ac:dyDescent="0.3">
      <c r="A53" s="21" t="s">
        <v>69</v>
      </c>
      <c r="B53" s="26" t="s">
        <v>70</v>
      </c>
      <c r="C53" s="22" t="s">
        <v>48</v>
      </c>
      <c r="D53" s="22" t="s">
        <v>56</v>
      </c>
      <c r="E53" s="22" t="s">
        <v>85</v>
      </c>
      <c r="F53" s="21">
        <v>980</v>
      </c>
    </row>
    <row r="54" spans="1:6" x14ac:dyDescent="0.3">
      <c r="A54" s="21" t="s">
        <v>69</v>
      </c>
      <c r="B54" s="26" t="s">
        <v>70</v>
      </c>
      <c r="C54" s="22" t="s">
        <v>64</v>
      </c>
      <c r="D54" s="22" t="s">
        <v>55</v>
      </c>
      <c r="E54" s="22" t="s">
        <v>45</v>
      </c>
      <c r="F54" s="21">
        <v>950</v>
      </c>
    </row>
    <row r="55" spans="1:6" x14ac:dyDescent="0.3">
      <c r="A55" s="21" t="s">
        <v>69</v>
      </c>
      <c r="B55" s="26" t="s">
        <v>70</v>
      </c>
      <c r="C55" s="22" t="s">
        <v>64</v>
      </c>
      <c r="D55" s="22" t="s">
        <v>56</v>
      </c>
      <c r="E55" s="22" t="s">
        <v>45</v>
      </c>
      <c r="F55" s="21">
        <v>1050</v>
      </c>
    </row>
    <row r="56" spans="1:6" x14ac:dyDescent="0.3">
      <c r="A56" s="21" t="s">
        <v>69</v>
      </c>
      <c r="B56" s="26" t="s">
        <v>70</v>
      </c>
      <c r="C56" s="22" t="s">
        <v>52</v>
      </c>
      <c r="D56" s="22" t="s">
        <v>55</v>
      </c>
      <c r="E56" s="22" t="s">
        <v>49</v>
      </c>
      <c r="F56" s="21">
        <v>540</v>
      </c>
    </row>
    <row r="57" spans="1:6" x14ac:dyDescent="0.3">
      <c r="A57" s="21" t="s">
        <v>69</v>
      </c>
      <c r="B57" s="26" t="s">
        <v>70</v>
      </c>
      <c r="C57" s="22" t="s">
        <v>60</v>
      </c>
      <c r="D57" s="22" t="s">
        <v>55</v>
      </c>
      <c r="E57" s="22" t="s">
        <v>53</v>
      </c>
      <c r="F57" s="21">
        <v>340</v>
      </c>
    </row>
    <row r="58" spans="1:6" x14ac:dyDescent="0.3">
      <c r="A58" s="21" t="s">
        <v>69</v>
      </c>
      <c r="B58" s="26" t="s">
        <v>70</v>
      </c>
      <c r="C58" s="22" t="s">
        <v>59</v>
      </c>
      <c r="D58" s="22" t="s">
        <v>55</v>
      </c>
      <c r="E58" s="22" t="s">
        <v>50</v>
      </c>
      <c r="F58" s="21">
        <v>430</v>
      </c>
    </row>
    <row r="59" spans="1:6" x14ac:dyDescent="0.3">
      <c r="A59" s="21" t="s">
        <v>69</v>
      </c>
      <c r="B59" s="26" t="s">
        <v>70</v>
      </c>
      <c r="C59" s="22" t="s">
        <v>59</v>
      </c>
      <c r="D59" s="22" t="s">
        <v>56</v>
      </c>
      <c r="E59" s="22" t="s">
        <v>50</v>
      </c>
      <c r="F59" s="21">
        <v>480</v>
      </c>
    </row>
    <row r="60" spans="1:6" x14ac:dyDescent="0.3">
      <c r="A60" s="21" t="s">
        <v>69</v>
      </c>
      <c r="B60" s="26" t="s">
        <v>70</v>
      </c>
      <c r="C60" s="22" t="s">
        <v>58</v>
      </c>
      <c r="D60" s="22" t="s">
        <v>55</v>
      </c>
      <c r="E60" s="22" t="s">
        <v>51</v>
      </c>
      <c r="F60" s="21">
        <v>290</v>
      </c>
    </row>
    <row r="61" spans="1:6" x14ac:dyDescent="0.3">
      <c r="A61" s="21" t="s">
        <v>69</v>
      </c>
      <c r="B61" s="26" t="s">
        <v>70</v>
      </c>
      <c r="C61" s="22" t="s">
        <v>58</v>
      </c>
      <c r="D61" s="22" t="s">
        <v>56</v>
      </c>
      <c r="E61" s="22" t="s">
        <v>51</v>
      </c>
      <c r="F61" s="21">
        <v>320</v>
      </c>
    </row>
    <row r="62" spans="1:6" x14ac:dyDescent="0.3">
      <c r="A62" s="21" t="s">
        <v>71</v>
      </c>
      <c r="B62" s="26" t="s">
        <v>72</v>
      </c>
      <c r="C62" s="22" t="s">
        <v>46</v>
      </c>
      <c r="D62" s="22" t="s">
        <v>55</v>
      </c>
      <c r="E62" s="22" t="s">
        <v>43</v>
      </c>
      <c r="F62" s="2">
        <v>190</v>
      </c>
    </row>
    <row r="63" spans="1:6" x14ac:dyDescent="0.3">
      <c r="A63" s="21" t="s">
        <v>71</v>
      </c>
      <c r="B63" s="26" t="s">
        <v>72</v>
      </c>
      <c r="C63" s="22" t="s">
        <v>46</v>
      </c>
      <c r="D63" s="22" t="s">
        <v>55</v>
      </c>
      <c r="E63" s="22" t="s">
        <v>44</v>
      </c>
      <c r="F63" s="2">
        <v>210</v>
      </c>
    </row>
    <row r="64" spans="1:6" x14ac:dyDescent="0.3">
      <c r="A64" s="21" t="s">
        <v>71</v>
      </c>
      <c r="B64" s="26" t="s">
        <v>72</v>
      </c>
      <c r="C64" s="22" t="s">
        <v>46</v>
      </c>
      <c r="D64" s="22" t="s">
        <v>56</v>
      </c>
      <c r="E64" s="22" t="s">
        <v>43</v>
      </c>
      <c r="F64" s="6">
        <v>210</v>
      </c>
    </row>
    <row r="65" spans="1:6" x14ac:dyDescent="0.3">
      <c r="A65" s="21" t="s">
        <v>71</v>
      </c>
      <c r="B65" s="26" t="s">
        <v>72</v>
      </c>
      <c r="C65" s="22" t="s">
        <v>46</v>
      </c>
      <c r="D65" s="22" t="s">
        <v>56</v>
      </c>
      <c r="E65" s="22" t="s">
        <v>44</v>
      </c>
      <c r="F65" s="6">
        <v>230</v>
      </c>
    </row>
    <row r="66" spans="1:6" x14ac:dyDescent="0.3">
      <c r="A66" s="21" t="s">
        <v>71</v>
      </c>
      <c r="B66" s="26" t="s">
        <v>72</v>
      </c>
      <c r="C66" s="22" t="s">
        <v>47</v>
      </c>
      <c r="D66" s="22" t="s">
        <v>55</v>
      </c>
      <c r="E66" s="22" t="s">
        <v>82</v>
      </c>
      <c r="F66" s="21">
        <v>520</v>
      </c>
    </row>
    <row r="67" spans="1:6" x14ac:dyDescent="0.3">
      <c r="A67" s="21" t="s">
        <v>71</v>
      </c>
      <c r="B67" s="26" t="s">
        <v>72</v>
      </c>
      <c r="C67" s="22" t="s">
        <v>47</v>
      </c>
      <c r="D67" s="22" t="s">
        <v>55</v>
      </c>
      <c r="E67" s="22" t="s">
        <v>83</v>
      </c>
      <c r="F67" s="21">
        <v>580</v>
      </c>
    </row>
    <row r="68" spans="1:6" x14ac:dyDescent="0.3">
      <c r="A68" s="21" t="s">
        <v>71</v>
      </c>
      <c r="B68" s="26" t="s">
        <v>72</v>
      </c>
      <c r="C68" s="22" t="s">
        <v>47</v>
      </c>
      <c r="D68" s="22" t="s">
        <v>56</v>
      </c>
      <c r="E68" s="22" t="s">
        <v>82</v>
      </c>
      <c r="F68" s="21">
        <v>580</v>
      </c>
    </row>
    <row r="69" spans="1:6" x14ac:dyDescent="0.3">
      <c r="A69" s="21" t="s">
        <v>71</v>
      </c>
      <c r="B69" s="26" t="s">
        <v>72</v>
      </c>
      <c r="C69" s="22" t="s">
        <v>47</v>
      </c>
      <c r="D69" s="22" t="s">
        <v>56</v>
      </c>
      <c r="E69" s="22" t="s">
        <v>83</v>
      </c>
      <c r="F69" s="21">
        <v>640</v>
      </c>
    </row>
    <row r="70" spans="1:6" x14ac:dyDescent="0.3">
      <c r="A70" s="21" t="s">
        <v>71</v>
      </c>
      <c r="B70" s="26" t="s">
        <v>72</v>
      </c>
      <c r="C70" s="22" t="s">
        <v>48</v>
      </c>
      <c r="D70" s="22" t="s">
        <v>55</v>
      </c>
      <c r="E70" s="22" t="s">
        <v>84</v>
      </c>
      <c r="F70" s="21">
        <v>780</v>
      </c>
    </row>
    <row r="71" spans="1:6" x14ac:dyDescent="0.3">
      <c r="A71" s="21" t="s">
        <v>71</v>
      </c>
      <c r="B71" s="26" t="s">
        <v>72</v>
      </c>
      <c r="C71" s="22" t="s">
        <v>48</v>
      </c>
      <c r="D71" s="22" t="s">
        <v>55</v>
      </c>
      <c r="E71" s="22" t="s">
        <v>85</v>
      </c>
      <c r="F71" s="21">
        <v>880</v>
      </c>
    </row>
    <row r="72" spans="1:6" x14ac:dyDescent="0.3">
      <c r="A72" s="21" t="s">
        <v>71</v>
      </c>
      <c r="B72" s="26" t="s">
        <v>72</v>
      </c>
      <c r="C72" s="22" t="s">
        <v>48</v>
      </c>
      <c r="D72" s="22" t="s">
        <v>56</v>
      </c>
      <c r="E72" s="22" t="s">
        <v>84</v>
      </c>
      <c r="F72" s="21">
        <v>890</v>
      </c>
    </row>
    <row r="73" spans="1:6" x14ac:dyDescent="0.3">
      <c r="A73" s="21" t="s">
        <v>71</v>
      </c>
      <c r="B73" s="26" t="s">
        <v>72</v>
      </c>
      <c r="C73" s="22" t="s">
        <v>48</v>
      </c>
      <c r="D73" s="22" t="s">
        <v>56</v>
      </c>
      <c r="E73" s="22" t="s">
        <v>85</v>
      </c>
      <c r="F73" s="21">
        <v>980</v>
      </c>
    </row>
    <row r="74" spans="1:6" x14ac:dyDescent="0.3">
      <c r="A74" s="21" t="s">
        <v>71</v>
      </c>
      <c r="B74" s="26" t="s">
        <v>72</v>
      </c>
      <c r="C74" s="22" t="s">
        <v>64</v>
      </c>
      <c r="D74" s="22" t="s">
        <v>55</v>
      </c>
      <c r="E74" s="22" t="s">
        <v>45</v>
      </c>
      <c r="F74" s="21">
        <v>950</v>
      </c>
    </row>
    <row r="75" spans="1:6" x14ac:dyDescent="0.3">
      <c r="A75" s="21" t="s">
        <v>71</v>
      </c>
      <c r="B75" s="26" t="s">
        <v>72</v>
      </c>
      <c r="C75" s="22" t="s">
        <v>64</v>
      </c>
      <c r="D75" s="22" t="s">
        <v>56</v>
      </c>
      <c r="E75" s="22" t="s">
        <v>45</v>
      </c>
      <c r="F75" s="21">
        <v>1050</v>
      </c>
    </row>
    <row r="76" spans="1:6" x14ac:dyDescent="0.3">
      <c r="A76" s="21" t="s">
        <v>71</v>
      </c>
      <c r="B76" s="26" t="s">
        <v>72</v>
      </c>
      <c r="C76" s="22" t="s">
        <v>52</v>
      </c>
      <c r="D76" s="22" t="s">
        <v>55</v>
      </c>
      <c r="E76" s="22" t="s">
        <v>49</v>
      </c>
      <c r="F76" s="21">
        <v>540</v>
      </c>
    </row>
    <row r="77" spans="1:6" x14ac:dyDescent="0.3">
      <c r="A77" s="21" t="s">
        <v>71</v>
      </c>
      <c r="B77" s="26" t="s">
        <v>72</v>
      </c>
      <c r="C77" s="22" t="s">
        <v>60</v>
      </c>
      <c r="D77" s="22" t="s">
        <v>55</v>
      </c>
      <c r="E77" s="22" t="s">
        <v>53</v>
      </c>
      <c r="F77" s="21">
        <v>340</v>
      </c>
    </row>
    <row r="78" spans="1:6" x14ac:dyDescent="0.3">
      <c r="A78" s="21" t="s">
        <v>71</v>
      </c>
      <c r="B78" s="26" t="s">
        <v>72</v>
      </c>
      <c r="C78" s="22" t="s">
        <v>59</v>
      </c>
      <c r="D78" s="22" t="s">
        <v>55</v>
      </c>
      <c r="E78" s="22" t="s">
        <v>50</v>
      </c>
      <c r="F78" s="21">
        <v>430</v>
      </c>
    </row>
    <row r="79" spans="1:6" x14ac:dyDescent="0.3">
      <c r="A79" s="21" t="s">
        <v>71</v>
      </c>
      <c r="B79" s="26" t="s">
        <v>72</v>
      </c>
      <c r="C79" s="22" t="s">
        <v>59</v>
      </c>
      <c r="D79" s="22" t="s">
        <v>56</v>
      </c>
      <c r="E79" s="22" t="s">
        <v>50</v>
      </c>
      <c r="F79" s="21">
        <v>480</v>
      </c>
    </row>
    <row r="80" spans="1:6" x14ac:dyDescent="0.3">
      <c r="A80" s="21" t="s">
        <v>71</v>
      </c>
      <c r="B80" s="26" t="s">
        <v>72</v>
      </c>
      <c r="C80" s="22" t="s">
        <v>58</v>
      </c>
      <c r="D80" s="22" t="s">
        <v>55</v>
      </c>
      <c r="E80" s="22" t="s">
        <v>51</v>
      </c>
      <c r="F80" s="21">
        <v>290</v>
      </c>
    </row>
    <row r="81" spans="1:6" x14ac:dyDescent="0.3">
      <c r="A81" s="21" t="s">
        <v>71</v>
      </c>
      <c r="B81" s="26" t="s">
        <v>72</v>
      </c>
      <c r="C81" s="22" t="s">
        <v>58</v>
      </c>
      <c r="D81" s="22" t="s">
        <v>56</v>
      </c>
      <c r="E81" s="22" t="s">
        <v>51</v>
      </c>
      <c r="F81" s="21">
        <v>320</v>
      </c>
    </row>
    <row r="82" spans="1:6" x14ac:dyDescent="0.3">
      <c r="A82" s="21" t="s">
        <v>74</v>
      </c>
      <c r="B82" s="26" t="s">
        <v>73</v>
      </c>
      <c r="C82" s="22" t="s">
        <v>46</v>
      </c>
      <c r="D82" s="22" t="s">
        <v>55</v>
      </c>
      <c r="E82" s="22" t="s">
        <v>43</v>
      </c>
      <c r="F82" s="2">
        <v>230</v>
      </c>
    </row>
    <row r="83" spans="1:6" x14ac:dyDescent="0.3">
      <c r="A83" s="21" t="s">
        <v>74</v>
      </c>
      <c r="B83" s="26" t="s">
        <v>73</v>
      </c>
      <c r="C83" s="22" t="s">
        <v>46</v>
      </c>
      <c r="D83" s="22" t="s">
        <v>55</v>
      </c>
      <c r="E83" s="22" t="s">
        <v>44</v>
      </c>
      <c r="F83" s="2">
        <v>250</v>
      </c>
    </row>
    <row r="84" spans="1:6" x14ac:dyDescent="0.3">
      <c r="A84" s="21" t="s">
        <v>74</v>
      </c>
      <c r="B84" s="26" t="s">
        <v>73</v>
      </c>
      <c r="C84" s="22" t="s">
        <v>46</v>
      </c>
      <c r="D84" s="22" t="s">
        <v>56</v>
      </c>
      <c r="E84" s="22" t="s">
        <v>43</v>
      </c>
      <c r="F84" s="6">
        <v>250</v>
      </c>
    </row>
    <row r="85" spans="1:6" x14ac:dyDescent="0.3">
      <c r="A85" s="21" t="s">
        <v>74</v>
      </c>
      <c r="B85" s="26" t="s">
        <v>73</v>
      </c>
      <c r="C85" s="22" t="s">
        <v>46</v>
      </c>
      <c r="D85" s="22" t="s">
        <v>56</v>
      </c>
      <c r="E85" s="22" t="s">
        <v>44</v>
      </c>
      <c r="F85" s="6">
        <v>270</v>
      </c>
    </row>
    <row r="86" spans="1:6" x14ac:dyDescent="0.3">
      <c r="A86" s="21" t="s">
        <v>74</v>
      </c>
      <c r="B86" s="26" t="s">
        <v>73</v>
      </c>
      <c r="C86" s="22" t="s">
        <v>47</v>
      </c>
      <c r="D86" s="22" t="s">
        <v>55</v>
      </c>
      <c r="E86" s="22" t="s">
        <v>82</v>
      </c>
      <c r="F86" s="21">
        <v>630</v>
      </c>
    </row>
    <row r="87" spans="1:6" x14ac:dyDescent="0.3">
      <c r="A87" s="21" t="s">
        <v>74</v>
      </c>
      <c r="B87" s="26" t="s">
        <v>73</v>
      </c>
      <c r="C87" s="22" t="s">
        <v>47</v>
      </c>
      <c r="D87" s="22" t="s">
        <v>55</v>
      </c>
      <c r="E87" s="22" t="s">
        <v>83</v>
      </c>
      <c r="F87" s="21">
        <v>690</v>
      </c>
    </row>
    <row r="88" spans="1:6" x14ac:dyDescent="0.3">
      <c r="A88" s="21" t="s">
        <v>74</v>
      </c>
      <c r="B88" s="26" t="s">
        <v>73</v>
      </c>
      <c r="C88" s="22" t="s">
        <v>47</v>
      </c>
      <c r="D88" s="22" t="s">
        <v>56</v>
      </c>
      <c r="E88" s="22" t="s">
        <v>82</v>
      </c>
      <c r="F88" s="21">
        <v>690</v>
      </c>
    </row>
    <row r="89" spans="1:6" x14ac:dyDescent="0.3">
      <c r="A89" s="21" t="s">
        <v>74</v>
      </c>
      <c r="B89" s="26" t="s">
        <v>73</v>
      </c>
      <c r="C89" s="22" t="s">
        <v>47</v>
      </c>
      <c r="D89" s="22" t="s">
        <v>56</v>
      </c>
      <c r="E89" s="22" t="s">
        <v>83</v>
      </c>
      <c r="F89" s="21">
        <v>750</v>
      </c>
    </row>
    <row r="90" spans="1:6" x14ac:dyDescent="0.3">
      <c r="A90" s="21" t="s">
        <v>74</v>
      </c>
      <c r="B90" s="26" t="s">
        <v>73</v>
      </c>
      <c r="C90" s="22" t="s">
        <v>48</v>
      </c>
      <c r="D90" s="22" t="s">
        <v>55</v>
      </c>
      <c r="E90" s="22" t="s">
        <v>84</v>
      </c>
      <c r="F90" s="21">
        <v>970</v>
      </c>
    </row>
    <row r="91" spans="1:6" x14ac:dyDescent="0.3">
      <c r="A91" s="21" t="s">
        <v>74</v>
      </c>
      <c r="B91" s="26" t="s">
        <v>73</v>
      </c>
      <c r="C91" s="22" t="s">
        <v>48</v>
      </c>
      <c r="D91" s="22" t="s">
        <v>55</v>
      </c>
      <c r="E91" s="22" t="s">
        <v>85</v>
      </c>
      <c r="F91" s="21">
        <v>1070</v>
      </c>
    </row>
    <row r="92" spans="1:6" x14ac:dyDescent="0.3">
      <c r="A92" s="21" t="s">
        <v>74</v>
      </c>
      <c r="B92" s="26" t="s">
        <v>73</v>
      </c>
      <c r="C92" s="22" t="s">
        <v>48</v>
      </c>
      <c r="D92" s="22" t="s">
        <v>56</v>
      </c>
      <c r="E92" s="22" t="s">
        <v>84</v>
      </c>
      <c r="F92" s="21">
        <v>1070</v>
      </c>
    </row>
    <row r="93" spans="1:6" x14ac:dyDescent="0.3">
      <c r="A93" s="21" t="s">
        <v>74</v>
      </c>
      <c r="B93" s="26" t="s">
        <v>73</v>
      </c>
      <c r="C93" s="22" t="s">
        <v>48</v>
      </c>
      <c r="D93" s="22" t="s">
        <v>56</v>
      </c>
      <c r="E93" s="22" t="s">
        <v>85</v>
      </c>
      <c r="F93" s="21">
        <v>1190</v>
      </c>
    </row>
    <row r="94" spans="1:6" x14ac:dyDescent="0.3">
      <c r="A94" s="21" t="s">
        <v>74</v>
      </c>
      <c r="B94" s="26" t="s">
        <v>73</v>
      </c>
      <c r="C94" s="22" t="s">
        <v>64</v>
      </c>
      <c r="D94" s="22" t="s">
        <v>55</v>
      </c>
      <c r="E94" s="22" t="s">
        <v>45</v>
      </c>
      <c r="F94" s="21">
        <v>1150</v>
      </c>
    </row>
    <row r="95" spans="1:6" x14ac:dyDescent="0.3">
      <c r="A95" s="21" t="s">
        <v>74</v>
      </c>
      <c r="B95" s="26" t="s">
        <v>73</v>
      </c>
      <c r="C95" s="22" t="s">
        <v>64</v>
      </c>
      <c r="D95" s="22" t="s">
        <v>56</v>
      </c>
      <c r="E95" s="22" t="s">
        <v>45</v>
      </c>
      <c r="F95" s="21">
        <v>1250</v>
      </c>
    </row>
    <row r="96" spans="1:6" x14ac:dyDescent="0.3">
      <c r="A96" s="21" t="s">
        <v>74</v>
      </c>
      <c r="B96" s="26" t="s">
        <v>73</v>
      </c>
      <c r="C96" s="22" t="s">
        <v>52</v>
      </c>
      <c r="D96" s="22" t="s">
        <v>55</v>
      </c>
      <c r="E96" s="22" t="s">
        <v>49</v>
      </c>
      <c r="F96" s="21">
        <v>650</v>
      </c>
    </row>
    <row r="97" spans="1:6" x14ac:dyDescent="0.3">
      <c r="A97" s="21" t="s">
        <v>74</v>
      </c>
      <c r="B97" s="26" t="s">
        <v>73</v>
      </c>
      <c r="C97" s="22" t="s">
        <v>60</v>
      </c>
      <c r="D97" s="22" t="s">
        <v>55</v>
      </c>
      <c r="E97" s="22" t="s">
        <v>53</v>
      </c>
      <c r="F97" s="21">
        <v>410</v>
      </c>
    </row>
    <row r="98" spans="1:6" x14ac:dyDescent="0.3">
      <c r="A98" s="21" t="s">
        <v>74</v>
      </c>
      <c r="B98" s="26" t="s">
        <v>73</v>
      </c>
      <c r="C98" s="22" t="s">
        <v>59</v>
      </c>
      <c r="D98" s="22" t="s">
        <v>55</v>
      </c>
      <c r="E98" s="22" t="s">
        <v>50</v>
      </c>
      <c r="F98" s="21">
        <v>520</v>
      </c>
    </row>
    <row r="99" spans="1:6" x14ac:dyDescent="0.3">
      <c r="A99" s="21" t="s">
        <v>74</v>
      </c>
      <c r="B99" s="26" t="s">
        <v>73</v>
      </c>
      <c r="C99" s="22" t="s">
        <v>59</v>
      </c>
      <c r="D99" s="22" t="s">
        <v>56</v>
      </c>
      <c r="E99" s="22" t="s">
        <v>50</v>
      </c>
      <c r="F99" s="21">
        <v>570</v>
      </c>
    </row>
    <row r="100" spans="1:6" x14ac:dyDescent="0.3">
      <c r="A100" s="21" t="s">
        <v>74</v>
      </c>
      <c r="B100" s="26" t="s">
        <v>73</v>
      </c>
      <c r="C100" s="22" t="s">
        <v>58</v>
      </c>
      <c r="D100" s="22" t="s">
        <v>55</v>
      </c>
      <c r="E100" s="22" t="s">
        <v>51</v>
      </c>
      <c r="F100" s="21">
        <v>350</v>
      </c>
    </row>
    <row r="101" spans="1:6" x14ac:dyDescent="0.3">
      <c r="A101" s="21" t="s">
        <v>74</v>
      </c>
      <c r="B101" s="26" t="s">
        <v>73</v>
      </c>
      <c r="C101" s="22" t="s">
        <v>58</v>
      </c>
      <c r="D101" s="22" t="s">
        <v>56</v>
      </c>
      <c r="E101" s="22" t="s">
        <v>51</v>
      </c>
      <c r="F101" s="21">
        <v>380</v>
      </c>
    </row>
    <row r="102" spans="1:6" x14ac:dyDescent="0.3">
      <c r="A102" s="21" t="s">
        <v>75</v>
      </c>
      <c r="B102" s="26" t="s">
        <v>76</v>
      </c>
      <c r="C102" s="22" t="s">
        <v>46</v>
      </c>
      <c r="D102" s="22" t="s">
        <v>55</v>
      </c>
      <c r="E102" s="22" t="s">
        <v>43</v>
      </c>
      <c r="F102" s="2">
        <v>230</v>
      </c>
    </row>
    <row r="103" spans="1:6" x14ac:dyDescent="0.3">
      <c r="A103" s="21" t="s">
        <v>75</v>
      </c>
      <c r="B103" s="26" t="s">
        <v>76</v>
      </c>
      <c r="C103" s="22" t="s">
        <v>46</v>
      </c>
      <c r="D103" s="22" t="s">
        <v>55</v>
      </c>
      <c r="E103" s="22" t="s">
        <v>44</v>
      </c>
      <c r="F103" s="2">
        <v>250</v>
      </c>
    </row>
    <row r="104" spans="1:6" x14ac:dyDescent="0.3">
      <c r="A104" s="21" t="s">
        <v>75</v>
      </c>
      <c r="B104" s="26" t="s">
        <v>76</v>
      </c>
      <c r="C104" s="22" t="s">
        <v>46</v>
      </c>
      <c r="D104" s="22" t="s">
        <v>56</v>
      </c>
      <c r="E104" s="22" t="s">
        <v>43</v>
      </c>
      <c r="F104" s="6">
        <v>250</v>
      </c>
    </row>
    <row r="105" spans="1:6" x14ac:dyDescent="0.3">
      <c r="A105" s="21" t="s">
        <v>75</v>
      </c>
      <c r="B105" s="26" t="s">
        <v>76</v>
      </c>
      <c r="C105" s="22" t="s">
        <v>46</v>
      </c>
      <c r="D105" s="22" t="s">
        <v>56</v>
      </c>
      <c r="E105" s="22" t="s">
        <v>44</v>
      </c>
      <c r="F105" s="6">
        <v>270</v>
      </c>
    </row>
    <row r="106" spans="1:6" x14ac:dyDescent="0.3">
      <c r="A106" s="21" t="s">
        <v>75</v>
      </c>
      <c r="B106" s="26" t="s">
        <v>76</v>
      </c>
      <c r="C106" s="22" t="s">
        <v>47</v>
      </c>
      <c r="D106" s="22" t="s">
        <v>55</v>
      </c>
      <c r="E106" s="22" t="s">
        <v>82</v>
      </c>
      <c r="F106" s="21">
        <v>630</v>
      </c>
    </row>
    <row r="107" spans="1:6" x14ac:dyDescent="0.3">
      <c r="A107" s="21" t="s">
        <v>75</v>
      </c>
      <c r="B107" s="26" t="s">
        <v>76</v>
      </c>
      <c r="C107" s="22" t="s">
        <v>47</v>
      </c>
      <c r="D107" s="22" t="s">
        <v>55</v>
      </c>
      <c r="E107" s="22" t="s">
        <v>83</v>
      </c>
      <c r="F107" s="21">
        <v>690</v>
      </c>
    </row>
    <row r="108" spans="1:6" x14ac:dyDescent="0.3">
      <c r="A108" s="21" t="s">
        <v>75</v>
      </c>
      <c r="B108" s="26" t="s">
        <v>76</v>
      </c>
      <c r="C108" s="22" t="s">
        <v>47</v>
      </c>
      <c r="D108" s="22" t="s">
        <v>56</v>
      </c>
      <c r="E108" s="22" t="s">
        <v>82</v>
      </c>
      <c r="F108" s="21">
        <v>690</v>
      </c>
    </row>
    <row r="109" spans="1:6" x14ac:dyDescent="0.3">
      <c r="A109" s="21" t="s">
        <v>75</v>
      </c>
      <c r="B109" s="26" t="s">
        <v>76</v>
      </c>
      <c r="C109" s="22" t="s">
        <v>47</v>
      </c>
      <c r="D109" s="22" t="s">
        <v>56</v>
      </c>
      <c r="E109" s="22" t="s">
        <v>83</v>
      </c>
      <c r="F109" s="21">
        <v>750</v>
      </c>
    </row>
    <row r="110" spans="1:6" x14ac:dyDescent="0.3">
      <c r="A110" s="21" t="s">
        <v>75</v>
      </c>
      <c r="B110" s="26" t="s">
        <v>76</v>
      </c>
      <c r="C110" s="22" t="s">
        <v>48</v>
      </c>
      <c r="D110" s="22" t="s">
        <v>55</v>
      </c>
      <c r="E110" s="22" t="s">
        <v>84</v>
      </c>
      <c r="F110" s="21">
        <v>970</v>
      </c>
    </row>
    <row r="111" spans="1:6" x14ac:dyDescent="0.3">
      <c r="A111" s="21" t="s">
        <v>75</v>
      </c>
      <c r="B111" s="26" t="s">
        <v>76</v>
      </c>
      <c r="C111" s="22" t="s">
        <v>48</v>
      </c>
      <c r="D111" s="22" t="s">
        <v>55</v>
      </c>
      <c r="E111" s="22" t="s">
        <v>85</v>
      </c>
      <c r="F111" s="21">
        <v>1070</v>
      </c>
    </row>
    <row r="112" spans="1:6" x14ac:dyDescent="0.3">
      <c r="A112" s="21" t="s">
        <v>75</v>
      </c>
      <c r="B112" s="26" t="s">
        <v>76</v>
      </c>
      <c r="C112" s="22" t="s">
        <v>48</v>
      </c>
      <c r="D112" s="22" t="s">
        <v>56</v>
      </c>
      <c r="E112" s="22" t="s">
        <v>84</v>
      </c>
      <c r="F112" s="21">
        <v>1070</v>
      </c>
    </row>
    <row r="113" spans="1:6" x14ac:dyDescent="0.3">
      <c r="A113" s="21" t="s">
        <v>75</v>
      </c>
      <c r="B113" s="26" t="s">
        <v>76</v>
      </c>
      <c r="C113" s="22" t="s">
        <v>48</v>
      </c>
      <c r="D113" s="22" t="s">
        <v>56</v>
      </c>
      <c r="E113" s="22" t="s">
        <v>85</v>
      </c>
      <c r="F113" s="21">
        <v>1190</v>
      </c>
    </row>
    <row r="114" spans="1:6" x14ac:dyDescent="0.3">
      <c r="A114" s="21" t="s">
        <v>75</v>
      </c>
      <c r="B114" s="26" t="s">
        <v>76</v>
      </c>
      <c r="C114" s="22" t="s">
        <v>64</v>
      </c>
      <c r="D114" s="22" t="s">
        <v>55</v>
      </c>
      <c r="E114" s="22" t="s">
        <v>45</v>
      </c>
      <c r="F114" s="21">
        <v>1150</v>
      </c>
    </row>
    <row r="115" spans="1:6" x14ac:dyDescent="0.3">
      <c r="A115" s="21" t="s">
        <v>75</v>
      </c>
      <c r="B115" s="26" t="s">
        <v>76</v>
      </c>
      <c r="C115" s="22" t="s">
        <v>64</v>
      </c>
      <c r="D115" s="22" t="s">
        <v>56</v>
      </c>
      <c r="E115" s="22" t="s">
        <v>45</v>
      </c>
      <c r="F115" s="21">
        <v>1250</v>
      </c>
    </row>
    <row r="116" spans="1:6" x14ac:dyDescent="0.3">
      <c r="A116" s="21" t="s">
        <v>75</v>
      </c>
      <c r="B116" s="26" t="s">
        <v>76</v>
      </c>
      <c r="C116" s="22" t="s">
        <v>52</v>
      </c>
      <c r="D116" s="22" t="s">
        <v>55</v>
      </c>
      <c r="E116" s="22" t="s">
        <v>49</v>
      </c>
      <c r="F116" s="21">
        <v>650</v>
      </c>
    </row>
    <row r="117" spans="1:6" x14ac:dyDescent="0.3">
      <c r="A117" s="21" t="s">
        <v>75</v>
      </c>
      <c r="B117" s="26" t="s">
        <v>76</v>
      </c>
      <c r="C117" s="22" t="s">
        <v>60</v>
      </c>
      <c r="D117" s="22" t="s">
        <v>55</v>
      </c>
      <c r="E117" s="22" t="s">
        <v>53</v>
      </c>
      <c r="F117" s="21">
        <v>410</v>
      </c>
    </row>
    <row r="118" spans="1:6" x14ac:dyDescent="0.3">
      <c r="A118" s="21" t="s">
        <v>75</v>
      </c>
      <c r="B118" s="26" t="s">
        <v>76</v>
      </c>
      <c r="C118" s="22" t="s">
        <v>59</v>
      </c>
      <c r="D118" s="22" t="s">
        <v>55</v>
      </c>
      <c r="E118" s="22" t="s">
        <v>50</v>
      </c>
      <c r="F118" s="21">
        <v>520</v>
      </c>
    </row>
    <row r="119" spans="1:6" x14ac:dyDescent="0.3">
      <c r="A119" s="21" t="s">
        <v>75</v>
      </c>
      <c r="B119" s="26" t="s">
        <v>76</v>
      </c>
      <c r="C119" s="22" t="s">
        <v>59</v>
      </c>
      <c r="D119" s="22" t="s">
        <v>56</v>
      </c>
      <c r="E119" s="22" t="s">
        <v>50</v>
      </c>
      <c r="F119" s="21">
        <v>570</v>
      </c>
    </row>
    <row r="120" spans="1:6" x14ac:dyDescent="0.3">
      <c r="A120" s="21" t="s">
        <v>75</v>
      </c>
      <c r="B120" s="26" t="s">
        <v>76</v>
      </c>
      <c r="C120" s="22" t="s">
        <v>58</v>
      </c>
      <c r="D120" s="22" t="s">
        <v>55</v>
      </c>
      <c r="E120" s="22" t="s">
        <v>51</v>
      </c>
      <c r="F120" s="21">
        <v>350</v>
      </c>
    </row>
    <row r="121" spans="1:6" x14ac:dyDescent="0.3">
      <c r="A121" s="21" t="s">
        <v>75</v>
      </c>
      <c r="B121" s="26" t="s">
        <v>76</v>
      </c>
      <c r="C121" s="22" t="s">
        <v>58</v>
      </c>
      <c r="D121" s="22" t="s">
        <v>56</v>
      </c>
      <c r="E121" s="22" t="s">
        <v>51</v>
      </c>
      <c r="F121" s="21">
        <v>380</v>
      </c>
    </row>
    <row r="122" spans="1:6" x14ac:dyDescent="0.3">
      <c r="A122" s="21" t="s">
        <v>77</v>
      </c>
      <c r="B122" s="26" t="s">
        <v>78</v>
      </c>
      <c r="C122" s="22" t="s">
        <v>46</v>
      </c>
      <c r="D122" s="22" t="s">
        <v>55</v>
      </c>
      <c r="E122" s="22" t="s">
        <v>80</v>
      </c>
      <c r="F122" s="2">
        <v>570</v>
      </c>
    </row>
    <row r="123" spans="1:6" x14ac:dyDescent="0.3">
      <c r="A123" s="21" t="s">
        <v>77</v>
      </c>
      <c r="B123" s="26" t="s">
        <v>78</v>
      </c>
      <c r="C123" s="22" t="s">
        <v>46</v>
      </c>
      <c r="D123" s="22" t="s">
        <v>56</v>
      </c>
      <c r="E123" s="22" t="s">
        <v>80</v>
      </c>
      <c r="F123" s="2">
        <v>750</v>
      </c>
    </row>
    <row r="124" spans="1:6" x14ac:dyDescent="0.3">
      <c r="A124" s="21" t="s">
        <v>77</v>
      </c>
      <c r="B124" s="26" t="s">
        <v>78</v>
      </c>
      <c r="C124" s="22" t="s">
        <v>79</v>
      </c>
      <c r="D124" s="22" t="s">
        <v>55</v>
      </c>
      <c r="E124" s="22" t="s">
        <v>80</v>
      </c>
      <c r="F124" s="21">
        <v>980</v>
      </c>
    </row>
    <row r="125" spans="1:6" x14ac:dyDescent="0.3">
      <c r="A125" s="21" t="s">
        <v>77</v>
      </c>
      <c r="B125" s="26" t="s">
        <v>78</v>
      </c>
      <c r="C125" s="22" t="s">
        <v>79</v>
      </c>
      <c r="D125" s="22" t="s">
        <v>56</v>
      </c>
      <c r="E125" s="22" t="s">
        <v>80</v>
      </c>
      <c r="F125" s="21">
        <v>1190</v>
      </c>
    </row>
    <row r="126" spans="1:6" x14ac:dyDescent="0.3">
      <c r="A126" s="21" t="s">
        <v>77</v>
      </c>
      <c r="B126" s="26" t="s">
        <v>78</v>
      </c>
      <c r="C126" s="22" t="s">
        <v>47</v>
      </c>
      <c r="D126" s="22" t="s">
        <v>55</v>
      </c>
      <c r="E126" s="22" t="s">
        <v>80</v>
      </c>
      <c r="F126" s="21">
        <v>1330</v>
      </c>
    </row>
    <row r="127" spans="1:6" x14ac:dyDescent="0.3">
      <c r="A127" s="21" t="s">
        <v>77</v>
      </c>
      <c r="B127" s="26" t="s">
        <v>78</v>
      </c>
      <c r="C127" s="22" t="s">
        <v>47</v>
      </c>
      <c r="D127" s="22" t="s">
        <v>56</v>
      </c>
      <c r="E127" s="22" t="s">
        <v>80</v>
      </c>
      <c r="F127" s="21">
        <v>1550</v>
      </c>
    </row>
    <row r="128" spans="1:6" x14ac:dyDescent="0.3">
      <c r="A128" s="21" t="s">
        <v>81</v>
      </c>
      <c r="B128" s="27" t="s">
        <v>86</v>
      </c>
      <c r="C128" s="22" t="s">
        <v>46</v>
      </c>
      <c r="D128" s="22" t="s">
        <v>55</v>
      </c>
      <c r="E128" s="22" t="s">
        <v>43</v>
      </c>
      <c r="F128" s="28">
        <v>340</v>
      </c>
    </row>
    <row r="129" spans="1:6" x14ac:dyDescent="0.3">
      <c r="A129" s="21" t="s">
        <v>81</v>
      </c>
      <c r="B129" s="27" t="s">
        <v>86</v>
      </c>
      <c r="C129" s="22" t="s">
        <v>46</v>
      </c>
      <c r="D129" s="22" t="s">
        <v>55</v>
      </c>
      <c r="E129" s="22" t="s">
        <v>44</v>
      </c>
      <c r="F129" s="28">
        <v>380</v>
      </c>
    </row>
    <row r="130" spans="1:6" x14ac:dyDescent="0.3">
      <c r="A130" s="21" t="s">
        <v>81</v>
      </c>
      <c r="B130" s="27" t="s">
        <v>86</v>
      </c>
      <c r="C130" s="22" t="s">
        <v>46</v>
      </c>
      <c r="D130" s="22" t="s">
        <v>56</v>
      </c>
      <c r="E130" s="22" t="s">
        <v>43</v>
      </c>
      <c r="F130" s="28">
        <v>400</v>
      </c>
    </row>
    <row r="131" spans="1:6" x14ac:dyDescent="0.3">
      <c r="A131" s="21" t="s">
        <v>81</v>
      </c>
      <c r="B131" s="27" t="s">
        <v>86</v>
      </c>
      <c r="C131" s="22" t="s">
        <v>46</v>
      </c>
      <c r="D131" s="22" t="s">
        <v>56</v>
      </c>
      <c r="E131" s="22" t="s">
        <v>44</v>
      </c>
      <c r="F131" s="28">
        <v>450</v>
      </c>
    </row>
    <row r="132" spans="1:6" x14ac:dyDescent="0.3">
      <c r="A132" s="21" t="s">
        <v>81</v>
      </c>
      <c r="B132" s="27" t="s">
        <v>86</v>
      </c>
      <c r="C132" s="22" t="s">
        <v>47</v>
      </c>
      <c r="D132" s="22" t="s">
        <v>55</v>
      </c>
      <c r="E132" s="22" t="s">
        <v>43</v>
      </c>
      <c r="F132" s="28">
        <v>780</v>
      </c>
    </row>
    <row r="133" spans="1:6" x14ac:dyDescent="0.3">
      <c r="A133" s="21" t="s">
        <v>81</v>
      </c>
      <c r="B133" s="27" t="s">
        <v>86</v>
      </c>
      <c r="C133" s="22" t="s">
        <v>47</v>
      </c>
      <c r="D133" s="22" t="s">
        <v>55</v>
      </c>
      <c r="E133" s="22" t="s">
        <v>44</v>
      </c>
      <c r="F133" s="28">
        <v>890</v>
      </c>
    </row>
    <row r="134" spans="1:6" x14ac:dyDescent="0.3">
      <c r="A134" s="21" t="s">
        <v>81</v>
      </c>
      <c r="B134" s="27" t="s">
        <v>86</v>
      </c>
      <c r="C134" s="22" t="s">
        <v>47</v>
      </c>
      <c r="D134" s="22" t="s">
        <v>56</v>
      </c>
      <c r="E134" s="22" t="s">
        <v>43</v>
      </c>
      <c r="F134" s="28">
        <v>960</v>
      </c>
    </row>
    <row r="135" spans="1:6" x14ac:dyDescent="0.3">
      <c r="A135" s="21" t="s">
        <v>81</v>
      </c>
      <c r="B135" s="27" t="s">
        <v>86</v>
      </c>
      <c r="C135" s="22" t="s">
        <v>47</v>
      </c>
      <c r="D135" s="22" t="s">
        <v>56</v>
      </c>
      <c r="E135" s="22" t="s">
        <v>44</v>
      </c>
      <c r="F135" s="28">
        <v>1060</v>
      </c>
    </row>
    <row r="136" spans="1:6" x14ac:dyDescent="0.3">
      <c r="A136" s="21" t="s">
        <v>81</v>
      </c>
      <c r="B136" s="27" t="s">
        <v>86</v>
      </c>
      <c r="C136" s="22" t="s">
        <v>48</v>
      </c>
      <c r="D136" s="22" t="s">
        <v>55</v>
      </c>
      <c r="E136" s="22" t="s">
        <v>43</v>
      </c>
      <c r="F136" s="28">
        <v>1180</v>
      </c>
    </row>
    <row r="137" spans="1:6" x14ac:dyDescent="0.3">
      <c r="A137" s="21" t="s">
        <v>81</v>
      </c>
      <c r="B137" s="27" t="s">
        <v>86</v>
      </c>
      <c r="C137" s="22" t="s">
        <v>48</v>
      </c>
      <c r="D137" s="22" t="s">
        <v>55</v>
      </c>
      <c r="E137" s="22" t="s">
        <v>44</v>
      </c>
      <c r="F137" s="28">
        <v>1330</v>
      </c>
    </row>
    <row r="138" spans="1:6" x14ac:dyDescent="0.3">
      <c r="A138" s="21" t="s">
        <v>81</v>
      </c>
      <c r="B138" s="27" t="s">
        <v>86</v>
      </c>
      <c r="C138" s="22" t="s">
        <v>48</v>
      </c>
      <c r="D138" s="22" t="s">
        <v>56</v>
      </c>
      <c r="E138" s="22" t="s">
        <v>43</v>
      </c>
      <c r="F138" s="28">
        <v>1420</v>
      </c>
    </row>
    <row r="139" spans="1:6" x14ac:dyDescent="0.3">
      <c r="A139" s="21" t="s">
        <v>81</v>
      </c>
      <c r="B139" s="27" t="s">
        <v>86</v>
      </c>
      <c r="C139" s="22" t="s">
        <v>48</v>
      </c>
      <c r="D139" s="22" t="s">
        <v>56</v>
      </c>
      <c r="E139" s="22" t="s">
        <v>44</v>
      </c>
      <c r="F139" s="28">
        <v>1620</v>
      </c>
    </row>
    <row r="140" spans="1:6" x14ac:dyDescent="0.3">
      <c r="A140" s="21" t="s">
        <v>81</v>
      </c>
      <c r="B140" s="27" t="s">
        <v>86</v>
      </c>
      <c r="C140" s="22" t="s">
        <v>64</v>
      </c>
      <c r="D140" s="22" t="s">
        <v>55</v>
      </c>
      <c r="E140" s="22" t="s">
        <v>45</v>
      </c>
      <c r="F140" s="28">
        <v>1800</v>
      </c>
    </row>
    <row r="141" spans="1:6" x14ac:dyDescent="0.3">
      <c r="A141" s="21" t="s">
        <v>81</v>
      </c>
      <c r="B141" s="27" t="s">
        <v>86</v>
      </c>
      <c r="C141" s="22" t="s">
        <v>64</v>
      </c>
      <c r="D141" s="22" t="s">
        <v>56</v>
      </c>
      <c r="E141" s="22" t="s">
        <v>45</v>
      </c>
      <c r="F141" s="28">
        <v>2125</v>
      </c>
    </row>
    <row r="142" spans="1:6" x14ac:dyDescent="0.3">
      <c r="A142" s="21" t="s">
        <v>87</v>
      </c>
      <c r="B142" s="27" t="s">
        <v>88</v>
      </c>
      <c r="C142" s="22" t="s">
        <v>46</v>
      </c>
      <c r="D142" s="22" t="s">
        <v>55</v>
      </c>
      <c r="E142" s="22" t="s">
        <v>43</v>
      </c>
      <c r="F142" s="28">
        <v>390</v>
      </c>
    </row>
    <row r="143" spans="1:6" x14ac:dyDescent="0.3">
      <c r="A143" s="21" t="s">
        <v>87</v>
      </c>
      <c r="B143" s="27" t="s">
        <v>88</v>
      </c>
      <c r="C143" s="22" t="s">
        <v>46</v>
      </c>
      <c r="D143" s="22" t="s">
        <v>55</v>
      </c>
      <c r="E143" s="22" t="s">
        <v>44</v>
      </c>
      <c r="F143" s="28">
        <v>440</v>
      </c>
    </row>
    <row r="144" spans="1:6" x14ac:dyDescent="0.3">
      <c r="A144" s="21" t="s">
        <v>87</v>
      </c>
      <c r="B144" s="27" t="s">
        <v>88</v>
      </c>
      <c r="C144" s="22" t="s">
        <v>46</v>
      </c>
      <c r="D144" s="22" t="s">
        <v>56</v>
      </c>
      <c r="E144" s="22" t="s">
        <v>43</v>
      </c>
      <c r="F144" s="28">
        <v>460</v>
      </c>
    </row>
    <row r="145" spans="1:6" x14ac:dyDescent="0.3">
      <c r="A145" s="21" t="s">
        <v>87</v>
      </c>
      <c r="B145" s="27" t="s">
        <v>88</v>
      </c>
      <c r="C145" s="22" t="s">
        <v>46</v>
      </c>
      <c r="D145" s="22" t="s">
        <v>56</v>
      </c>
      <c r="E145" s="22" t="s">
        <v>44</v>
      </c>
      <c r="F145" s="28">
        <v>520</v>
      </c>
    </row>
    <row r="146" spans="1:6" x14ac:dyDescent="0.3">
      <c r="A146" s="21" t="s">
        <v>87</v>
      </c>
      <c r="B146" s="27" t="s">
        <v>88</v>
      </c>
      <c r="C146" s="22" t="s">
        <v>47</v>
      </c>
      <c r="D146" s="22" t="s">
        <v>55</v>
      </c>
      <c r="E146" s="22" t="s">
        <v>43</v>
      </c>
      <c r="F146" s="28">
        <v>910</v>
      </c>
    </row>
    <row r="147" spans="1:6" x14ac:dyDescent="0.3">
      <c r="A147" s="21" t="s">
        <v>87</v>
      </c>
      <c r="B147" s="27" t="s">
        <v>88</v>
      </c>
      <c r="C147" s="22" t="s">
        <v>47</v>
      </c>
      <c r="D147" s="22" t="s">
        <v>55</v>
      </c>
      <c r="E147" s="22" t="s">
        <v>44</v>
      </c>
      <c r="F147" s="28">
        <v>1060</v>
      </c>
    </row>
    <row r="148" spans="1:6" x14ac:dyDescent="0.3">
      <c r="A148" s="21" t="s">
        <v>87</v>
      </c>
      <c r="B148" s="27" t="s">
        <v>88</v>
      </c>
      <c r="C148" s="22" t="s">
        <v>47</v>
      </c>
      <c r="D148" s="22" t="s">
        <v>56</v>
      </c>
      <c r="E148" s="22" t="s">
        <v>43</v>
      </c>
      <c r="F148" s="28">
        <v>1100</v>
      </c>
    </row>
    <row r="149" spans="1:6" x14ac:dyDescent="0.3">
      <c r="A149" s="21" t="s">
        <v>87</v>
      </c>
      <c r="B149" s="27" t="s">
        <v>88</v>
      </c>
      <c r="C149" s="22" t="s">
        <v>47</v>
      </c>
      <c r="D149" s="22" t="s">
        <v>56</v>
      </c>
      <c r="E149" s="22" t="s">
        <v>44</v>
      </c>
      <c r="F149" s="28">
        <v>1300</v>
      </c>
    </row>
    <row r="150" spans="1:6" x14ac:dyDescent="0.3">
      <c r="A150" s="21" t="s">
        <v>87</v>
      </c>
      <c r="B150" s="27" t="s">
        <v>88</v>
      </c>
      <c r="C150" s="22" t="s">
        <v>48</v>
      </c>
      <c r="D150" s="22" t="s">
        <v>55</v>
      </c>
      <c r="E150" s="22" t="s">
        <v>43</v>
      </c>
      <c r="F150" s="28">
        <v>1350</v>
      </c>
    </row>
    <row r="151" spans="1:6" x14ac:dyDescent="0.3">
      <c r="A151" s="21" t="s">
        <v>87</v>
      </c>
      <c r="B151" s="27" t="s">
        <v>88</v>
      </c>
      <c r="C151" s="22" t="s">
        <v>48</v>
      </c>
      <c r="D151" s="22" t="s">
        <v>55</v>
      </c>
      <c r="E151" s="22" t="s">
        <v>44</v>
      </c>
      <c r="F151" s="28">
        <v>1540</v>
      </c>
    </row>
    <row r="152" spans="1:6" x14ac:dyDescent="0.3">
      <c r="A152" s="21" t="s">
        <v>87</v>
      </c>
      <c r="B152" s="27" t="s">
        <v>88</v>
      </c>
      <c r="C152" s="22" t="s">
        <v>48</v>
      </c>
      <c r="D152" s="22" t="s">
        <v>56</v>
      </c>
      <c r="E152" s="22" t="s">
        <v>43</v>
      </c>
      <c r="F152" s="28">
        <v>1640</v>
      </c>
    </row>
    <row r="153" spans="1:6" x14ac:dyDescent="0.3">
      <c r="A153" s="21" t="s">
        <v>87</v>
      </c>
      <c r="B153" s="27" t="s">
        <v>88</v>
      </c>
      <c r="C153" s="22" t="s">
        <v>48</v>
      </c>
      <c r="D153" s="22" t="s">
        <v>56</v>
      </c>
      <c r="E153" s="22" t="s">
        <v>44</v>
      </c>
      <c r="F153" s="28">
        <v>1880</v>
      </c>
    </row>
    <row r="154" spans="1:6" x14ac:dyDescent="0.3">
      <c r="A154" s="21" t="s">
        <v>87</v>
      </c>
      <c r="B154" s="27" t="s">
        <v>88</v>
      </c>
      <c r="C154" s="22" t="s">
        <v>64</v>
      </c>
      <c r="D154" s="22" t="s">
        <v>55</v>
      </c>
      <c r="E154" s="22" t="s">
        <v>45</v>
      </c>
      <c r="F154" s="28">
        <v>2075</v>
      </c>
    </row>
    <row r="155" spans="1:6" x14ac:dyDescent="0.3">
      <c r="A155" s="21" t="s">
        <v>87</v>
      </c>
      <c r="B155" s="27" t="s">
        <v>88</v>
      </c>
      <c r="C155" s="22" t="s">
        <v>64</v>
      </c>
      <c r="D155" s="22" t="s">
        <v>56</v>
      </c>
      <c r="E155" s="22" t="s">
        <v>45</v>
      </c>
      <c r="F155" s="28">
        <v>2450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6476-4EF2-44F6-99D9-4F68A610F826}">
  <dimension ref="A1:J12"/>
  <sheetViews>
    <sheetView zoomScaleNormal="100" workbookViewId="0">
      <selection activeCell="B9" sqref="B9"/>
    </sheetView>
  </sheetViews>
  <sheetFormatPr defaultRowHeight="14.4" x14ac:dyDescent="0.3"/>
  <cols>
    <col min="1" max="2" width="20.6640625" customWidth="1"/>
    <col min="3" max="6" width="20.6640625" hidden="1" customWidth="1"/>
    <col min="7" max="7" width="20.6640625" style="1" customWidth="1"/>
    <col min="8" max="8" width="20.6640625" hidden="1" customWidth="1"/>
    <col min="9" max="9" width="20.6640625" style="1" customWidth="1"/>
    <col min="10" max="10" width="20.6640625" customWidth="1"/>
  </cols>
  <sheetData>
    <row r="1" spans="1:10" x14ac:dyDescent="0.3">
      <c r="A1" s="19" t="s">
        <v>31</v>
      </c>
      <c r="B1" s="19"/>
      <c r="C1" s="19"/>
      <c r="D1" s="19"/>
      <c r="E1" s="19"/>
      <c r="F1" s="19"/>
      <c r="G1" s="19"/>
      <c r="H1" s="19"/>
      <c r="I1" s="19"/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41</v>
      </c>
      <c r="F2" s="2" t="s">
        <v>4</v>
      </c>
      <c r="G2" s="3" t="s">
        <v>5</v>
      </c>
      <c r="H2" s="2" t="s">
        <v>6</v>
      </c>
      <c r="I2" s="3" t="s">
        <v>7</v>
      </c>
      <c r="J2" s="3" t="s">
        <v>42</v>
      </c>
    </row>
    <row r="3" spans="1:10" x14ac:dyDescent="0.3">
      <c r="A3" s="2" t="s">
        <v>8</v>
      </c>
      <c r="B3" s="2">
        <v>340</v>
      </c>
      <c r="C3" s="2">
        <v>24</v>
      </c>
      <c r="D3" s="2">
        <v>31</v>
      </c>
      <c r="E3" s="2">
        <v>50</v>
      </c>
      <c r="F3" s="2">
        <f>B3*3</f>
        <v>1020</v>
      </c>
      <c r="G3" s="3">
        <f>ROUNDUP(F3*(1-C3/100)/10, 0)*10</f>
        <v>780</v>
      </c>
      <c r="H3" s="2">
        <f>B3*5</f>
        <v>1700</v>
      </c>
      <c r="I3" s="3">
        <f>ROUNDUP(H3*(1-D3/100)/10, 0)*10</f>
        <v>1180</v>
      </c>
      <c r="J3" s="3">
        <f>(B3+B4)/2*10/2</f>
        <v>1800</v>
      </c>
    </row>
    <row r="4" spans="1:10" x14ac:dyDescent="0.3">
      <c r="A4" s="2" t="s">
        <v>9</v>
      </c>
      <c r="B4" s="2">
        <v>380</v>
      </c>
      <c r="C4" s="2">
        <v>22</v>
      </c>
      <c r="D4" s="2">
        <v>30</v>
      </c>
      <c r="E4" s="2">
        <v>50</v>
      </c>
      <c r="F4" s="2">
        <f>B4*3</f>
        <v>1140</v>
      </c>
      <c r="G4" s="3">
        <f>ROUNDUP(F4*(1-C4/100)/10, 0)*10</f>
        <v>890</v>
      </c>
      <c r="H4" s="2">
        <f>B4*5</f>
        <v>1900</v>
      </c>
      <c r="I4" s="3">
        <f>ROUNDUP(H4*(1-D4/100)/10, 0)*10</f>
        <v>1330</v>
      </c>
      <c r="J4" s="3"/>
    </row>
    <row r="5" spans="1:10" x14ac:dyDescent="0.3">
      <c r="A5" s="2" t="s">
        <v>10</v>
      </c>
      <c r="B5" s="2">
        <v>400</v>
      </c>
      <c r="C5" s="2">
        <v>20</v>
      </c>
      <c r="D5" s="2">
        <v>29</v>
      </c>
      <c r="E5" s="2">
        <v>50</v>
      </c>
      <c r="F5" s="2">
        <f>B5*3</f>
        <v>1200</v>
      </c>
      <c r="G5" s="3">
        <f>ROUNDUP(F5*(1-C5/100)/10, 0)*10</f>
        <v>960</v>
      </c>
      <c r="H5" s="2">
        <f>B5*5</f>
        <v>2000</v>
      </c>
      <c r="I5" s="3">
        <f>ROUNDUP(H5*(1-D5/100)/10, 0)*10</f>
        <v>1420</v>
      </c>
      <c r="J5" s="3">
        <f>(B5+B6)/2*10/2</f>
        <v>2125</v>
      </c>
    </row>
    <row r="6" spans="1:10" x14ac:dyDescent="0.3">
      <c r="A6" s="2" t="s">
        <v>11</v>
      </c>
      <c r="B6" s="2">
        <v>450</v>
      </c>
      <c r="C6" s="2">
        <v>18</v>
      </c>
      <c r="D6" s="2">
        <v>28</v>
      </c>
      <c r="E6" s="2">
        <v>50</v>
      </c>
      <c r="F6" s="2">
        <f>B6*3</f>
        <v>1350</v>
      </c>
      <c r="G6" s="3">
        <f>ROUNDUP(F6*(1-C6/100)/10, 0)*10</f>
        <v>1110</v>
      </c>
      <c r="H6" s="2">
        <f>B6*5</f>
        <v>2250</v>
      </c>
      <c r="I6" s="3">
        <f>ROUNDUP(H6*(1-D6/100)/10, 0)*10</f>
        <v>1620</v>
      </c>
      <c r="J6" s="3"/>
    </row>
    <row r="7" spans="1:10" x14ac:dyDescent="0.3">
      <c r="A7" s="20" t="s">
        <v>13</v>
      </c>
      <c r="B7" s="20"/>
      <c r="C7" s="20"/>
      <c r="D7" s="20"/>
      <c r="E7" s="20"/>
      <c r="F7" s="20"/>
      <c r="G7" s="20"/>
      <c r="H7" s="20"/>
      <c r="I7" s="20"/>
      <c r="J7" s="3"/>
    </row>
    <row r="8" spans="1:10" x14ac:dyDescent="0.3">
      <c r="A8" s="2" t="s">
        <v>0</v>
      </c>
      <c r="B8" s="2" t="s">
        <v>1</v>
      </c>
      <c r="C8" s="2" t="s">
        <v>2</v>
      </c>
      <c r="D8" s="2" t="s">
        <v>3</v>
      </c>
      <c r="E8" s="2"/>
      <c r="F8" s="2" t="s">
        <v>4</v>
      </c>
      <c r="G8" s="3" t="s">
        <v>5</v>
      </c>
      <c r="H8" s="2" t="s">
        <v>6</v>
      </c>
      <c r="I8" s="3" t="s">
        <v>7</v>
      </c>
      <c r="J8" s="3"/>
    </row>
    <row r="9" spans="1:10" x14ac:dyDescent="0.3">
      <c r="A9" s="2" t="s">
        <v>8</v>
      </c>
      <c r="B9" s="2">
        <v>390</v>
      </c>
      <c r="C9" s="2">
        <v>23</v>
      </c>
      <c r="D9" s="2">
        <v>31</v>
      </c>
      <c r="E9" s="2"/>
      <c r="F9" s="2">
        <f>B9*3</f>
        <v>1170</v>
      </c>
      <c r="G9" s="3">
        <f>ROUNDUP(F9*(1-C9/100)/10, 0)*10</f>
        <v>910</v>
      </c>
      <c r="H9" s="2">
        <f>B9*5</f>
        <v>1950</v>
      </c>
      <c r="I9" s="3">
        <f>ROUNDUP(H9*(1-D9/100)/10, 0)*10</f>
        <v>1350</v>
      </c>
      <c r="J9" s="3">
        <f>(B9+B10)/2*10/2</f>
        <v>2075</v>
      </c>
    </row>
    <row r="10" spans="1:10" x14ac:dyDescent="0.3">
      <c r="A10" s="2" t="s">
        <v>9</v>
      </c>
      <c r="B10" s="2">
        <v>440</v>
      </c>
      <c r="C10" s="2">
        <v>20</v>
      </c>
      <c r="D10" s="2">
        <v>30</v>
      </c>
      <c r="E10" s="2"/>
      <c r="F10" s="2">
        <f>B10*3</f>
        <v>1320</v>
      </c>
      <c r="G10" s="3">
        <f>ROUNDUP(F10*(1-C10/100)/10, 0)*10</f>
        <v>1060</v>
      </c>
      <c r="H10" s="2">
        <f>B10*5</f>
        <v>2200</v>
      </c>
      <c r="I10" s="3">
        <f>ROUNDUP(H10*(1-D10/100)/10, 0)*10</f>
        <v>1540</v>
      </c>
      <c r="J10" s="3"/>
    </row>
    <row r="11" spans="1:10" x14ac:dyDescent="0.3">
      <c r="A11" s="2" t="s">
        <v>10</v>
      </c>
      <c r="B11" s="2">
        <v>460</v>
      </c>
      <c r="C11" s="2">
        <v>20</v>
      </c>
      <c r="D11" s="2">
        <v>29</v>
      </c>
      <c r="E11" s="2"/>
      <c r="F11" s="2">
        <f>B11*3</f>
        <v>1380</v>
      </c>
      <c r="G11" s="3">
        <f>ROUNDUP(F11*(1-C11/100)/10, 0)*10</f>
        <v>1110</v>
      </c>
      <c r="H11" s="2">
        <f>B11*5</f>
        <v>2300</v>
      </c>
      <c r="I11" s="3">
        <f>ROUNDUP(H11*(1-D11/100)/10, 0)*10</f>
        <v>1640</v>
      </c>
      <c r="J11" s="3">
        <f>(B11+B12)/2*10/2</f>
        <v>2450</v>
      </c>
    </row>
    <row r="12" spans="1:10" x14ac:dyDescent="0.3">
      <c r="A12" s="2" t="s">
        <v>11</v>
      </c>
      <c r="B12" s="2">
        <v>520</v>
      </c>
      <c r="C12" s="2">
        <v>17</v>
      </c>
      <c r="D12" s="2">
        <v>28</v>
      </c>
      <c r="E12" s="2"/>
      <c r="F12" s="2">
        <f>B12*3</f>
        <v>1560</v>
      </c>
      <c r="G12" s="3">
        <f>ROUNDUP(F12*(1-C12/100)/10, 0)*10</f>
        <v>1300</v>
      </c>
      <c r="H12" s="2">
        <f>B12*5</f>
        <v>2600</v>
      </c>
      <c r="I12" s="3">
        <f>ROUNDUP(H12*(1-D12/100)/10, 0)*10</f>
        <v>1880</v>
      </c>
      <c r="J12" s="3"/>
    </row>
  </sheetData>
  <mergeCells count="2">
    <mergeCell ref="A1:I1"/>
    <mergeCell ref="A7:I7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Алтушка TV</vt:lpstr>
      <vt:lpstr>Алтушка ПК</vt:lpstr>
      <vt:lpstr>Новокос ПК</vt:lpstr>
      <vt:lpstr>TV новокосино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WSADVGB sdagvf</cp:lastModifiedBy>
  <dcterms:created xsi:type="dcterms:W3CDTF">2025-01-20T16:02:32Z</dcterms:created>
  <dcterms:modified xsi:type="dcterms:W3CDTF">2025-12-23T12:27:06Z</dcterms:modified>
</cp:coreProperties>
</file>